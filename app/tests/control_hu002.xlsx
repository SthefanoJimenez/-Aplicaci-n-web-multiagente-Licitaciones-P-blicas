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Postores" sheetId="3" state="visible" r:id="rId3"/>
    <sheet xmlns:r="http://schemas.openxmlformats.org/officeDocument/2006/relationships" name="Depart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0.0E+00"/>
    <numFmt numFmtId="166" formatCode="0.000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  <color theme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0" customWidth="1" min="4" max="4"/>
    <col width="16" customWidth="1" min="5" max="5"/>
    <col width="16" customWidth="1" min="6" max="6"/>
    <col width="16" customWidth="1" min="7" max="7"/>
    <col width="10" customWidth="1" min="8" max="8"/>
    <col width="16" customWidth="1" min="9" max="9"/>
    <col width="16" customWidth="1" min="10" max="10"/>
    <col width="16" customWidth="1" min="11" max="11"/>
    <col width="18" customWidth="1" min="12" max="12"/>
    <col width="14" customWidth="1" min="13" max="13"/>
    <col width="16" customWidth="1" min="14" max="14"/>
    <col width="16" customWidth="1" min="15" max="15"/>
    <col width="12" customWidth="1" min="16" max="16"/>
    <col width="14" customWidth="1" min="17" max="17"/>
    <col width="16" customWidth="1" min="18" max="18"/>
    <col width="16" customWidth="1" min="19" max="19"/>
    <col width="12" customWidth="1" min="20" max="20"/>
    <col width="18" customWidth="1" min="21" max="21"/>
    <col width="10" customWidth="1" min="22" max="22"/>
  </cols>
  <sheetData>
    <row r="1">
      <c r="A1" s="1" t="inlineStr">
        <is>
          <t>Grupo</t>
        </is>
      </c>
      <c r="B1" s="1" t="inlineStr">
        <is>
          <t>Código</t>
        </is>
      </c>
      <c r="C1" s="1" t="inlineStr">
        <is>
          <t>Unidad</t>
        </is>
      </c>
      <c r="D1" s="1" t="inlineStr">
        <is>
          <t>N (Excel)</t>
        </is>
      </c>
      <c r="E1" s="1" t="inlineStr">
        <is>
          <t>P25 (Excel)</t>
        </is>
      </c>
      <c r="F1" s="1" t="inlineStr">
        <is>
          <t>Mediana (Excel)</t>
        </is>
      </c>
      <c r="G1" s="1" t="inlineStr">
        <is>
          <t>P75 (Excel)</t>
        </is>
      </c>
      <c r="H1" s="1" t="inlineStr">
        <is>
          <t>N (app)</t>
        </is>
      </c>
      <c r="I1" s="1" t="inlineStr">
        <is>
          <t>P25 (app)</t>
        </is>
      </c>
      <c r="J1" s="1" t="inlineStr">
        <is>
          <t>Mediana (app)</t>
        </is>
      </c>
      <c r="K1" s="1" t="inlineStr">
        <is>
          <t>P75 (app)</t>
        </is>
      </c>
      <c r="L1" s="1" t="inlineStr">
        <is>
          <t>Diferencia precios</t>
        </is>
      </c>
      <c r="M1" s="1" t="inlineStr">
        <is>
          <t>Con postores (Excel)</t>
        </is>
      </c>
      <c r="N1" s="1" t="inlineStr">
        <is>
          <t>Mediana postores (Excel)</t>
        </is>
      </c>
      <c r="O1" s="1" t="inlineStr">
        <is>
          <t>% postor único (Excel)</t>
        </is>
      </c>
      <c r="P1" s="1" t="inlineStr">
        <is>
          <t>La Libertad (Excel)</t>
        </is>
      </c>
      <c r="Q1" s="1" t="inlineStr">
        <is>
          <t>Con postores (app)</t>
        </is>
      </c>
      <c r="R1" s="1" t="inlineStr">
        <is>
          <t>Mediana postores (app)</t>
        </is>
      </c>
      <c r="S1" s="1" t="inlineStr">
        <is>
          <t>% postor único (app)</t>
        </is>
      </c>
      <c r="T1" s="1" t="inlineStr">
        <is>
          <t>La Libertad (app)</t>
        </is>
      </c>
      <c r="U1" s="1" t="inlineStr">
        <is>
          <t>Diferencia competencia</t>
        </is>
      </c>
      <c r="V1" s="1" t="inlineStr">
        <is>
          <t>Coincide</t>
        </is>
      </c>
    </row>
    <row r="2">
      <c r="A2" s="2" t="n">
        <v>1</v>
      </c>
      <c r="B2" s="2" t="n">
        <v>61903</v>
      </c>
      <c r="C2" s="2" t="inlineStr">
        <is>
          <t>Unidad</t>
        </is>
      </c>
      <c r="D2" s="2">
        <f>COUNT(Precios!$A$2:$A$215)</f>
        <v/>
      </c>
      <c r="E2" s="3">
        <f>_xlfn.PERCENTILE.INC(Precios!$A$2:$A$215,0.25)</f>
        <v/>
      </c>
      <c r="F2" s="3">
        <f>MEDIAN(Precios!$A$2:$A$215)</f>
        <v/>
      </c>
      <c r="G2" s="3">
        <f>_xlfn.PERCENTILE.INC(Precios!$A$2:$A$215,0.75)</f>
        <v/>
      </c>
      <c r="H2" s="4" t="n">
        <v>5</v>
      </c>
      <c r="I2" s="5" t="n">
        <v>0.198</v>
      </c>
      <c r="J2" s="5" t="n">
        <v>0.215</v>
      </c>
      <c r="K2" s="5" t="n">
        <v>0.225</v>
      </c>
      <c r="L2" s="6">
        <f>MAX(ABS(E2-I2),ABS(F2-J2),ABS(G2-K2))</f>
        <v/>
      </c>
      <c r="M2" s="2">
        <f>COUNT(Postores!$A$2:$A$215)</f>
        <v/>
      </c>
      <c r="N2" s="2">
        <f>IF(M2=0,"",MEDIAN(Postores!$A$2:$A$215))</f>
        <v/>
      </c>
      <c r="O2" s="7">
        <f>IF(M2=0,"",COUNTIF(Postores!$A$2:$A$215,1)/M2*100)</f>
        <v/>
      </c>
      <c r="P2" s="2">
        <f>COUNTIF(Departamentos!$A$2:$A$215,"LA LIBERTAD")</f>
        <v/>
      </c>
      <c r="Q2" s="4" t="n">
        <v>5</v>
      </c>
      <c r="R2" s="4" t="n">
        <v>5</v>
      </c>
      <c r="S2" s="8" t="n">
        <v>0</v>
      </c>
      <c r="T2" s="4" t="n">
        <v>0</v>
      </c>
      <c r="U2" s="6">
        <f>IF(M2=0,0,MAX(ABS(N2-R2),ABS(O2-S2)))</f>
        <v/>
      </c>
      <c r="V2" s="2">
        <f>IF(AND(D2=H2,L2&lt;=1e-06,M2=Q2,P2=T2,U2&lt;=1e-06),"Sí","No")</f>
        <v/>
      </c>
    </row>
    <row r="3">
      <c r="A3" s="2" t="n">
        <v>2</v>
      </c>
      <c r="B3" s="2" t="n">
        <v>388620</v>
      </c>
      <c r="C3" s="2" t="inlineStr">
        <is>
          <t>Unidad</t>
        </is>
      </c>
      <c r="D3" s="2">
        <f>COUNT(Precios!$B$2:$B$215)</f>
        <v/>
      </c>
      <c r="E3" s="3">
        <f>_xlfn.PERCENTILE.INC(Precios!$B$2:$B$215,0.25)</f>
        <v/>
      </c>
      <c r="F3" s="3">
        <f>MEDIAN(Precios!$B$2:$B$215)</f>
        <v/>
      </c>
      <c r="G3" s="3">
        <f>_xlfn.PERCENTILE.INC(Precios!$B$2:$B$215,0.75)</f>
        <v/>
      </c>
      <c r="H3" s="4" t="n">
        <v>5</v>
      </c>
      <c r="I3" s="5" t="n">
        <v>0.091</v>
      </c>
      <c r="J3" s="5" t="n">
        <v>0.1</v>
      </c>
      <c r="K3" s="5" t="n">
        <v>0.1065</v>
      </c>
      <c r="L3" s="6">
        <f>MAX(ABS(E3-I3),ABS(F3-J3),ABS(G3-K3))</f>
        <v/>
      </c>
      <c r="M3" s="2">
        <f>COUNT(Postores!$B$2:$B$215)</f>
        <v/>
      </c>
      <c r="N3" s="2">
        <f>IF(M3=0,"",MEDIAN(Postores!$B$2:$B$215))</f>
        <v/>
      </c>
      <c r="O3" s="7">
        <f>IF(M3=0,"",COUNTIF(Postores!$B$2:$B$215,1)/M3*100)</f>
        <v/>
      </c>
      <c r="P3" s="2">
        <f>COUNTIF(Departamentos!$B$2:$B$215,"LA LIBERTAD")</f>
        <v/>
      </c>
      <c r="Q3" s="4" t="n">
        <v>4</v>
      </c>
      <c r="R3" s="4" t="n">
        <v>6</v>
      </c>
      <c r="S3" s="8" t="n">
        <v>0</v>
      </c>
      <c r="T3" s="4" t="n">
        <v>0</v>
      </c>
      <c r="U3" s="6">
        <f>IF(M3=0,0,MAX(ABS(N3-R3),ABS(O3-S3)))</f>
        <v/>
      </c>
      <c r="V3" s="2">
        <f>IF(AND(D3=H3,L3&lt;=1e-06,M3=Q3,P3=T3,U3&lt;=1e-06),"Sí","No")</f>
        <v/>
      </c>
    </row>
    <row r="4">
      <c r="A4" s="2" t="n">
        <v>3</v>
      </c>
      <c r="B4" s="2" t="n">
        <v>362466</v>
      </c>
      <c r="C4" s="2" t="inlineStr">
        <is>
          <t>Metro</t>
        </is>
      </c>
      <c r="D4" s="2">
        <f>COUNT(Precios!$C$2:$C$215)</f>
        <v/>
      </c>
      <c r="E4" s="3">
        <f>_xlfn.PERCENTILE.INC(Precios!$C$2:$C$215,0.25)</f>
        <v/>
      </c>
      <c r="F4" s="3">
        <f>MEDIAN(Precios!$C$2:$C$215)</f>
        <v/>
      </c>
      <c r="G4" s="3">
        <f>_xlfn.PERCENTILE.INC(Precios!$C$2:$C$215,0.75)</f>
        <v/>
      </c>
      <c r="H4" s="4" t="n">
        <v>5</v>
      </c>
      <c r="I4" s="5" t="n">
        <v>945</v>
      </c>
      <c r="J4" s="5" t="n">
        <v>1190</v>
      </c>
      <c r="K4" s="5" t="n">
        <v>1648</v>
      </c>
      <c r="L4" s="6">
        <f>MAX(ABS(E4-I4),ABS(F4-J4),ABS(G4-K4))</f>
        <v/>
      </c>
      <c r="M4" s="2">
        <f>COUNT(Postores!$C$2:$C$215)</f>
        <v/>
      </c>
      <c r="N4" s="2">
        <f>IF(M4=0,"",MEDIAN(Postores!$C$2:$C$215))</f>
        <v/>
      </c>
      <c r="O4" s="7">
        <f>IF(M4=0,"",COUNTIF(Postores!$C$2:$C$215,1)/M4*100)</f>
        <v/>
      </c>
      <c r="P4" s="2">
        <f>COUNTIF(Departamentos!$C$2:$C$215,"LA LIBERTAD")</f>
        <v/>
      </c>
      <c r="Q4" s="4" t="n">
        <v>5</v>
      </c>
      <c r="R4" s="4" t="n">
        <v>3</v>
      </c>
      <c r="S4" s="8" t="n">
        <v>0</v>
      </c>
      <c r="T4" s="4" t="n">
        <v>0</v>
      </c>
      <c r="U4" s="6">
        <f>IF(M4=0,0,MAX(ABS(N4-R4),ABS(O4-S4)))</f>
        <v/>
      </c>
      <c r="V4" s="2">
        <f>IF(AND(D4=H4,L4&lt;=1e-06,M4=Q4,P4=T4,U4&lt;=1e-06),"Sí","No")</f>
        <v/>
      </c>
    </row>
    <row r="5">
      <c r="A5" s="2" t="n">
        <v>4</v>
      </c>
      <c r="B5" s="2" t="n">
        <v>390554</v>
      </c>
      <c r="C5" s="2" t="inlineStr">
        <is>
          <t>Kilogramo</t>
        </is>
      </c>
      <c r="D5" s="2">
        <f>COUNT(Precios!$D$2:$D$215)</f>
        <v/>
      </c>
      <c r="E5" s="3">
        <f>_xlfn.PERCENTILE.INC(Precios!$D$2:$D$215,0.25)</f>
        <v/>
      </c>
      <c r="F5" s="3">
        <f>MEDIAN(Precios!$D$2:$D$215)</f>
        <v/>
      </c>
      <c r="G5" s="3">
        <f>_xlfn.PERCENTILE.INC(Precios!$D$2:$D$215,0.75)</f>
        <v/>
      </c>
      <c r="H5" s="4" t="n">
        <v>5</v>
      </c>
      <c r="I5" s="5" t="n">
        <v>6.466032177656922</v>
      </c>
      <c r="J5" s="5" t="n">
        <v>6.565756457564576</v>
      </c>
      <c r="K5" s="5" t="n">
        <v>8.009009009009009</v>
      </c>
      <c r="L5" s="6">
        <f>MAX(ABS(E5-I5),ABS(F5-J5),ABS(G5-K5))</f>
        <v/>
      </c>
      <c r="M5" s="2">
        <f>COUNT(Postores!$D$2:$D$215)</f>
        <v/>
      </c>
      <c r="N5" s="2">
        <f>IF(M5=0,"",MEDIAN(Postores!$D$2:$D$215))</f>
        <v/>
      </c>
      <c r="O5" s="7">
        <f>IF(M5=0,"",COUNTIF(Postores!$D$2:$D$215,1)/M5*100)</f>
        <v/>
      </c>
      <c r="P5" s="2">
        <f>COUNTIF(Departamentos!$D$2:$D$215,"LA LIBERTAD")</f>
        <v/>
      </c>
      <c r="Q5" s="4" t="n">
        <v>5</v>
      </c>
      <c r="R5" s="4" t="n">
        <v>3</v>
      </c>
      <c r="S5" s="8" t="n">
        <v>20</v>
      </c>
      <c r="T5" s="4" t="n">
        <v>0</v>
      </c>
      <c r="U5" s="6">
        <f>IF(M5=0,0,MAX(ABS(N5-R5),ABS(O5-S5)))</f>
        <v/>
      </c>
      <c r="V5" s="2">
        <f>IF(AND(D5=H5,L5&lt;=1e-06,M5=Q5,P5=T5,U5&lt;=1e-06),"Sí","No")</f>
        <v/>
      </c>
    </row>
    <row r="6">
      <c r="A6" s="2" t="n">
        <v>5</v>
      </c>
      <c r="B6" s="2" t="n">
        <v>392233</v>
      </c>
      <c r="C6" s="2" t="inlineStr">
        <is>
          <t>Unidad</t>
        </is>
      </c>
      <c r="D6" s="2">
        <f>COUNT(Precios!$E$2:$E$215)</f>
        <v/>
      </c>
      <c r="E6" s="3">
        <f>_xlfn.PERCENTILE.INC(Precios!$E$2:$E$215,0.25)</f>
        <v/>
      </c>
      <c r="F6" s="3">
        <f>MEDIAN(Precios!$E$2:$E$215)</f>
        <v/>
      </c>
      <c r="G6" s="3">
        <f>_xlfn.PERCENTILE.INC(Precios!$E$2:$E$215,0.75)</f>
        <v/>
      </c>
      <c r="H6" s="4" t="n">
        <v>6</v>
      </c>
      <c r="I6" s="5" t="n">
        <v>573.2758620689656</v>
      </c>
      <c r="J6" s="5" t="n">
        <v>38996.55172413793</v>
      </c>
      <c r="K6" s="5" t="n">
        <v>99737.5</v>
      </c>
      <c r="L6" s="6">
        <f>MAX(ABS(E6-I6),ABS(F6-J6),ABS(G6-K6))</f>
        <v/>
      </c>
      <c r="M6" s="2">
        <f>COUNT(Postores!$E$2:$E$215)</f>
        <v/>
      </c>
      <c r="N6" s="2">
        <f>IF(M6=0,"",MEDIAN(Postores!$E$2:$E$215))</f>
        <v/>
      </c>
      <c r="O6" s="7">
        <f>IF(M6=0,"",COUNTIF(Postores!$E$2:$E$215,1)/M6*100)</f>
        <v/>
      </c>
      <c r="P6" s="2">
        <f>COUNTIF(Departamentos!$E$2:$E$215,"LA LIBERTAD")</f>
        <v/>
      </c>
      <c r="Q6" s="4" t="n">
        <v>6</v>
      </c>
      <c r="R6" s="4" t="n">
        <v>2.5</v>
      </c>
      <c r="S6" s="8" t="n">
        <v>16.66666666666667</v>
      </c>
      <c r="T6" s="4" t="n">
        <v>0</v>
      </c>
      <c r="U6" s="6">
        <f>IF(M6=0,0,MAX(ABS(N6-R6),ABS(O6-S6)))</f>
        <v/>
      </c>
      <c r="V6" s="2">
        <f>IF(AND(D6=H6,L6&lt;=1e-06,M6=Q6,P6=T6,U6&lt;=1e-06),"Sí","No")</f>
        <v/>
      </c>
    </row>
    <row r="7">
      <c r="A7" s="2" t="n">
        <v>6</v>
      </c>
      <c r="B7" s="2" t="n">
        <v>184418</v>
      </c>
      <c r="C7" s="2" t="inlineStr">
        <is>
          <t>Unidad</t>
        </is>
      </c>
      <c r="D7" s="2">
        <f>COUNT(Precios!$F$2:$F$215)</f>
        <v/>
      </c>
      <c r="E7" s="3">
        <f>_xlfn.PERCENTILE.INC(Precios!$F$2:$F$215,0.25)</f>
        <v/>
      </c>
      <c r="F7" s="3">
        <f>MEDIAN(Precios!$F$2:$F$215)</f>
        <v/>
      </c>
      <c r="G7" s="3">
        <f>_xlfn.PERCENTILE.INC(Precios!$F$2:$F$215,0.75)</f>
        <v/>
      </c>
      <c r="H7" s="4" t="n">
        <v>7</v>
      </c>
      <c r="I7" s="5" t="n">
        <v>22652.20388888889</v>
      </c>
      <c r="J7" s="5" t="n">
        <v>45240</v>
      </c>
      <c r="K7" s="5" t="n">
        <v>49650</v>
      </c>
      <c r="L7" s="6">
        <f>MAX(ABS(E7-I7),ABS(F7-J7),ABS(G7-K7))</f>
        <v/>
      </c>
      <c r="M7" s="2">
        <f>COUNT(Postores!$F$2:$F$215)</f>
        <v/>
      </c>
      <c r="N7" s="2">
        <f>IF(M7=0,"",MEDIAN(Postores!$F$2:$F$215))</f>
        <v/>
      </c>
      <c r="O7" s="7">
        <f>IF(M7=0,"",COUNTIF(Postores!$F$2:$F$215,1)/M7*100)</f>
        <v/>
      </c>
      <c r="P7" s="2">
        <f>COUNTIF(Departamentos!$F$2:$F$215,"LA LIBERTAD")</f>
        <v/>
      </c>
      <c r="Q7" s="4" t="n">
        <v>6</v>
      </c>
      <c r="R7" s="4" t="n">
        <v>2.5</v>
      </c>
      <c r="S7" s="8" t="n">
        <v>16.66666666666667</v>
      </c>
      <c r="T7" s="4" t="n">
        <v>1</v>
      </c>
      <c r="U7" s="6">
        <f>IF(M7=0,0,MAX(ABS(N7-R7),ABS(O7-S7)))</f>
        <v/>
      </c>
      <c r="V7" s="2">
        <f>IF(AND(D7=H7,L7&lt;=1e-06,M7=Q7,P7=T7,U7&lt;=1e-06),"Sí","No")</f>
        <v/>
      </c>
    </row>
    <row r="8">
      <c r="A8" s="2" t="n">
        <v>7</v>
      </c>
      <c r="B8" s="2" t="n">
        <v>286158</v>
      </c>
      <c r="C8" s="2" t="inlineStr">
        <is>
          <t>Unidad</t>
        </is>
      </c>
      <c r="D8" s="2">
        <f>COUNT(Precios!$G$2:$G$215)</f>
        <v/>
      </c>
      <c r="E8" s="3">
        <f>_xlfn.PERCENTILE.INC(Precios!$G$2:$G$215,0.25)</f>
        <v/>
      </c>
      <c r="F8" s="3">
        <f>MEDIAN(Precios!$G$2:$G$215)</f>
        <v/>
      </c>
      <c r="G8" s="3">
        <f>_xlfn.PERCENTILE.INC(Precios!$G$2:$G$215,0.75)</f>
        <v/>
      </c>
      <c r="H8" s="4" t="n">
        <v>8</v>
      </c>
      <c r="I8" s="5" t="n">
        <v>666.4479166666666</v>
      </c>
      <c r="J8" s="5" t="n">
        <v>121923.5</v>
      </c>
      <c r="K8" s="5" t="n">
        <v>214425.2875</v>
      </c>
      <c r="L8" s="6">
        <f>MAX(ABS(E8-I8),ABS(F8-J8),ABS(G8-K8))</f>
        <v/>
      </c>
      <c r="M8" s="2">
        <f>COUNT(Postores!$G$2:$G$215)</f>
        <v/>
      </c>
      <c r="N8" s="2">
        <f>IF(M8=0,"",MEDIAN(Postores!$G$2:$G$215))</f>
        <v/>
      </c>
      <c r="O8" s="7">
        <f>IF(M8=0,"",COUNTIF(Postores!$G$2:$G$215,1)/M8*100)</f>
        <v/>
      </c>
      <c r="P8" s="2">
        <f>COUNTIF(Departamentos!$G$2:$G$215,"LA LIBERTAD")</f>
        <v/>
      </c>
      <c r="Q8" s="4" t="n">
        <v>8</v>
      </c>
      <c r="R8" s="4" t="n">
        <v>2</v>
      </c>
      <c r="S8" s="8" t="n">
        <v>50</v>
      </c>
      <c r="T8" s="4" t="n">
        <v>0</v>
      </c>
      <c r="U8" s="6">
        <f>IF(M8=0,0,MAX(ABS(N8-R8),ABS(O8-S8)))</f>
        <v/>
      </c>
      <c r="V8" s="2">
        <f>IF(AND(D8=H8,L8&lt;=1e-06,M8=Q8,P8=T8,U8&lt;=1e-06),"Sí","No")</f>
        <v/>
      </c>
    </row>
    <row r="9">
      <c r="A9" s="2" t="n">
        <v>8</v>
      </c>
      <c r="B9" s="2" t="n">
        <v>60522</v>
      </c>
      <c r="C9" s="2" t="inlineStr">
        <is>
          <t>Unidad</t>
        </is>
      </c>
      <c r="D9" s="2">
        <f>COUNT(Precios!$H$2:$H$215)</f>
        <v/>
      </c>
      <c r="E9" s="3">
        <f>_xlfn.PERCENTILE.INC(Precios!$H$2:$H$215,0.25)</f>
        <v/>
      </c>
      <c r="F9" s="3">
        <f>MEDIAN(Precios!$H$2:$H$215)</f>
        <v/>
      </c>
      <c r="G9" s="3">
        <f>_xlfn.PERCENTILE.INC(Precios!$H$2:$H$215,0.75)</f>
        <v/>
      </c>
      <c r="H9" s="4" t="n">
        <v>8</v>
      </c>
      <c r="I9" s="5" t="n">
        <v>0.06792499988582153</v>
      </c>
      <c r="J9" s="5" t="n">
        <v>0.08860000000000001</v>
      </c>
      <c r="K9" s="5" t="n">
        <v>0.125</v>
      </c>
      <c r="L9" s="6">
        <f>MAX(ABS(E9-I9),ABS(F9-J9),ABS(G9-K9))</f>
        <v/>
      </c>
      <c r="M9" s="2">
        <f>COUNT(Postores!$H$2:$H$215)</f>
        <v/>
      </c>
      <c r="N9" s="2">
        <f>IF(M9=0,"",MEDIAN(Postores!$H$2:$H$215))</f>
        <v/>
      </c>
      <c r="O9" s="7">
        <f>IF(M9=0,"",COUNTIF(Postores!$H$2:$H$215,1)/M9*100)</f>
        <v/>
      </c>
      <c r="P9" s="2">
        <f>COUNTIF(Departamentos!$H$2:$H$215,"LA LIBERTAD")</f>
        <v/>
      </c>
      <c r="Q9" s="4" t="n">
        <v>8</v>
      </c>
      <c r="R9" s="4" t="n">
        <v>7</v>
      </c>
      <c r="S9" s="8" t="n">
        <v>0</v>
      </c>
      <c r="T9" s="4" t="n">
        <v>0</v>
      </c>
      <c r="U9" s="6">
        <f>IF(M9=0,0,MAX(ABS(N9-R9),ABS(O9-S9)))</f>
        <v/>
      </c>
      <c r="V9" s="2">
        <f>IF(AND(D9=H9,L9&lt;=1e-06,M9=Q9,P9=T9,U9&lt;=1e-06),"Sí","No")</f>
        <v/>
      </c>
    </row>
    <row r="10">
      <c r="A10" s="2" t="n">
        <v>9</v>
      </c>
      <c r="B10" s="2" t="n">
        <v>385674</v>
      </c>
      <c r="C10" s="2" t="inlineStr">
        <is>
          <t>Unidad</t>
        </is>
      </c>
      <c r="D10" s="2">
        <f>COUNT(Precios!$I$2:$I$215)</f>
        <v/>
      </c>
      <c r="E10" s="3">
        <f>_xlfn.PERCENTILE.INC(Precios!$I$2:$I$215,0.25)</f>
        <v/>
      </c>
      <c r="F10" s="3">
        <f>MEDIAN(Precios!$I$2:$I$215)</f>
        <v/>
      </c>
      <c r="G10" s="3">
        <f>_xlfn.PERCENTILE.INC(Precios!$I$2:$I$215,0.75)</f>
        <v/>
      </c>
      <c r="H10" s="4" t="n">
        <v>9</v>
      </c>
      <c r="I10" s="5" t="n">
        <v>40204.745</v>
      </c>
      <c r="J10" s="5" t="n">
        <v>44475</v>
      </c>
      <c r="K10" s="5" t="n">
        <v>50000</v>
      </c>
      <c r="L10" s="6">
        <f>MAX(ABS(E10-I10),ABS(F10-J10),ABS(G10-K10))</f>
        <v/>
      </c>
      <c r="M10" s="2">
        <f>COUNT(Postores!$I$2:$I$215)</f>
        <v/>
      </c>
      <c r="N10" s="2">
        <f>IF(M10=0,"",MEDIAN(Postores!$I$2:$I$215))</f>
        <v/>
      </c>
      <c r="O10" s="7">
        <f>IF(M10=0,"",COUNTIF(Postores!$I$2:$I$215,1)/M10*100)</f>
        <v/>
      </c>
      <c r="P10" s="2">
        <f>COUNTIF(Departamentos!$I$2:$I$215,"LA LIBERTAD")</f>
        <v/>
      </c>
      <c r="Q10" s="4" t="n">
        <v>9</v>
      </c>
      <c r="R10" s="4" t="n">
        <v>3</v>
      </c>
      <c r="S10" s="8" t="n">
        <v>11.11111111111111</v>
      </c>
      <c r="T10" s="4" t="n">
        <v>0</v>
      </c>
      <c r="U10" s="6">
        <f>IF(M10=0,0,MAX(ABS(N10-R10),ABS(O10-S10)))</f>
        <v/>
      </c>
      <c r="V10" s="2">
        <f>IF(AND(D10=H10,L10&lt;=1e-06,M10=Q10,P10=T10,U10&lt;=1e-06),"Sí","No")</f>
        <v/>
      </c>
    </row>
    <row r="11">
      <c r="A11" s="2" t="n">
        <v>10</v>
      </c>
      <c r="B11" s="2" t="n">
        <v>390914</v>
      </c>
      <c r="C11" s="2" t="inlineStr">
        <is>
          <t>Unidad</t>
        </is>
      </c>
      <c r="D11" s="2">
        <f>COUNT(Precios!$J$2:$J$215)</f>
        <v/>
      </c>
      <c r="E11" s="3">
        <f>_xlfn.PERCENTILE.INC(Precios!$J$2:$J$215,0.25)</f>
        <v/>
      </c>
      <c r="F11" s="3">
        <f>MEDIAN(Precios!$J$2:$J$215)</f>
        <v/>
      </c>
      <c r="G11" s="3">
        <f>_xlfn.PERCENTILE.INC(Precios!$J$2:$J$215,0.75)</f>
        <v/>
      </c>
      <c r="H11" s="4" t="n">
        <v>9</v>
      </c>
      <c r="I11" s="5" t="n">
        <v>56760</v>
      </c>
      <c r="J11" s="5" t="n">
        <v>70900</v>
      </c>
      <c r="K11" s="5" t="n">
        <v>127170</v>
      </c>
      <c r="L11" s="6">
        <f>MAX(ABS(E11-I11),ABS(F11-J11),ABS(G11-K11))</f>
        <v/>
      </c>
      <c r="M11" s="2">
        <f>COUNT(Postores!$J$2:$J$215)</f>
        <v/>
      </c>
      <c r="N11" s="2">
        <f>IF(M11=0,"",MEDIAN(Postores!$J$2:$J$215))</f>
        <v/>
      </c>
      <c r="O11" s="7">
        <f>IF(M11=0,"",COUNTIF(Postores!$J$2:$J$215,1)/M11*100)</f>
        <v/>
      </c>
      <c r="P11" s="2">
        <f>COUNTIF(Departamentos!$J$2:$J$215,"LA LIBERTAD")</f>
        <v/>
      </c>
      <c r="Q11" s="4" t="n">
        <v>9</v>
      </c>
      <c r="R11" s="4" t="n">
        <v>3</v>
      </c>
      <c r="S11" s="8" t="n">
        <v>0</v>
      </c>
      <c r="T11" s="4" t="n">
        <v>0</v>
      </c>
      <c r="U11" s="6">
        <f>IF(M11=0,0,MAX(ABS(N11-R11),ABS(O11-S11)))</f>
        <v/>
      </c>
      <c r="V11" s="2">
        <f>IF(AND(D11=H11,L11&lt;=1e-06,M11=Q11,P11=T11,U11&lt;=1e-06),"Sí","No")</f>
        <v/>
      </c>
    </row>
    <row r="12">
      <c r="A12" s="2" t="n">
        <v>11</v>
      </c>
      <c r="B12" s="2" t="n">
        <v>61853</v>
      </c>
      <c r="C12" s="2" t="inlineStr">
        <is>
          <t>Unidad</t>
        </is>
      </c>
      <c r="D12" s="2">
        <f>COUNT(Precios!$K$2:$K$215)</f>
        <v/>
      </c>
      <c r="E12" s="3">
        <f>_xlfn.PERCENTILE.INC(Precios!$K$2:$K$215,0.25)</f>
        <v/>
      </c>
      <c r="F12" s="3">
        <f>MEDIAN(Precios!$K$2:$K$215)</f>
        <v/>
      </c>
      <c r="G12" s="3">
        <f>_xlfn.PERCENTILE.INC(Precios!$K$2:$K$215,0.75)</f>
        <v/>
      </c>
      <c r="H12" s="4" t="n">
        <v>10</v>
      </c>
      <c r="I12" s="5" t="n">
        <v>4.412423417523144</v>
      </c>
      <c r="J12" s="5" t="n">
        <v>7.175</v>
      </c>
      <c r="K12" s="5" t="n">
        <v>9.859999999999999</v>
      </c>
      <c r="L12" s="6">
        <f>MAX(ABS(E12-I12),ABS(F12-J12),ABS(G12-K12))</f>
        <v/>
      </c>
      <c r="M12" s="2">
        <f>COUNT(Postores!$K$2:$K$215)</f>
        <v/>
      </c>
      <c r="N12" s="2">
        <f>IF(M12=0,"",MEDIAN(Postores!$K$2:$K$215))</f>
        <v/>
      </c>
      <c r="O12" s="7">
        <f>IF(M12=0,"",COUNTIF(Postores!$K$2:$K$215,1)/M12*100)</f>
        <v/>
      </c>
      <c r="P12" s="2">
        <f>COUNTIF(Departamentos!$K$2:$K$215,"LA LIBERTAD")</f>
        <v/>
      </c>
      <c r="Q12" s="4" t="n">
        <v>10</v>
      </c>
      <c r="R12" s="4" t="n">
        <v>3</v>
      </c>
      <c r="S12" s="8" t="n">
        <v>10</v>
      </c>
      <c r="T12" s="4" t="n">
        <v>2</v>
      </c>
      <c r="U12" s="6">
        <f>IF(M12=0,0,MAX(ABS(N12-R12),ABS(O12-S12)))</f>
        <v/>
      </c>
      <c r="V12" s="2">
        <f>IF(AND(D12=H12,L12&lt;=1e-06,M12=Q12,P12=T12,U12&lt;=1e-06),"Sí","No")</f>
        <v/>
      </c>
    </row>
    <row r="13">
      <c r="A13" s="2" t="n">
        <v>12</v>
      </c>
      <c r="B13" s="2" t="n">
        <v>391873</v>
      </c>
      <c r="C13" s="2" t="inlineStr">
        <is>
          <t>Unidad</t>
        </is>
      </c>
      <c r="D13" s="2">
        <f>COUNT(Precios!$L$2:$L$215)</f>
        <v/>
      </c>
      <c r="E13" s="3">
        <f>_xlfn.PERCENTILE.INC(Precios!$L$2:$L$215,0.25)</f>
        <v/>
      </c>
      <c r="F13" s="3">
        <f>MEDIAN(Precios!$L$2:$L$215)</f>
        <v/>
      </c>
      <c r="G13" s="3">
        <f>_xlfn.PERCENTILE.INC(Precios!$L$2:$L$215,0.75)</f>
        <v/>
      </c>
      <c r="H13" s="4" t="n">
        <v>11</v>
      </c>
      <c r="I13" s="5" t="n">
        <v>39281.66666666667</v>
      </c>
      <c r="J13" s="5" t="n">
        <v>65995</v>
      </c>
      <c r="K13" s="5" t="n">
        <v>79750</v>
      </c>
      <c r="L13" s="6">
        <f>MAX(ABS(E13-I13),ABS(F13-J13),ABS(G13-K13))</f>
        <v/>
      </c>
      <c r="M13" s="2">
        <f>COUNT(Postores!$L$2:$L$215)</f>
        <v/>
      </c>
      <c r="N13" s="2">
        <f>IF(M13=0,"",MEDIAN(Postores!$L$2:$L$215))</f>
        <v/>
      </c>
      <c r="O13" s="7">
        <f>IF(M13=0,"",COUNTIF(Postores!$L$2:$L$215,1)/M13*100)</f>
        <v/>
      </c>
      <c r="P13" s="2">
        <f>COUNTIF(Departamentos!$L$2:$L$215,"LA LIBERTAD")</f>
        <v/>
      </c>
      <c r="Q13" s="4" t="n">
        <v>11</v>
      </c>
      <c r="R13" s="4" t="n">
        <v>4</v>
      </c>
      <c r="S13" s="8" t="n">
        <v>18.18181818181818</v>
      </c>
      <c r="T13" s="4" t="n">
        <v>1</v>
      </c>
      <c r="U13" s="6">
        <f>IF(M13=0,0,MAX(ABS(N13-R13),ABS(O13-S13)))</f>
        <v/>
      </c>
      <c r="V13" s="2">
        <f>IF(AND(D13=H13,L13&lt;=1e-06,M13=Q13,P13=T13,U13&lt;=1e-06),"Sí","No")</f>
        <v/>
      </c>
    </row>
    <row r="14">
      <c r="A14" s="2" t="n">
        <v>13</v>
      </c>
      <c r="B14" s="2" t="n">
        <v>184824</v>
      </c>
      <c r="C14" s="2" t="inlineStr">
        <is>
          <t>Unidad</t>
        </is>
      </c>
      <c r="D14" s="2">
        <f>COUNT(Precios!$M$2:$M$215)</f>
        <v/>
      </c>
      <c r="E14" s="3">
        <f>_xlfn.PERCENTILE.INC(Precios!$M$2:$M$215,0.25)</f>
        <v/>
      </c>
      <c r="F14" s="3">
        <f>MEDIAN(Precios!$M$2:$M$215)</f>
        <v/>
      </c>
      <c r="G14" s="3">
        <f>_xlfn.PERCENTILE.INC(Precios!$M$2:$M$215,0.75)</f>
        <v/>
      </c>
      <c r="H14" s="4" t="n">
        <v>11</v>
      </c>
      <c r="I14" s="5" t="n">
        <v>548900</v>
      </c>
      <c r="J14" s="5" t="n">
        <v>594318.5</v>
      </c>
      <c r="K14" s="5" t="n">
        <v>666000</v>
      </c>
      <c r="L14" s="6">
        <f>MAX(ABS(E14-I14),ABS(F14-J14),ABS(G14-K14))</f>
        <v/>
      </c>
      <c r="M14" s="2">
        <f>COUNT(Postores!$M$2:$M$215)</f>
        <v/>
      </c>
      <c r="N14" s="2">
        <f>IF(M14=0,"",MEDIAN(Postores!$M$2:$M$215))</f>
        <v/>
      </c>
      <c r="O14" s="7">
        <f>IF(M14=0,"",COUNTIF(Postores!$M$2:$M$215,1)/M14*100)</f>
        <v/>
      </c>
      <c r="P14" s="2">
        <f>COUNTIF(Departamentos!$M$2:$M$215,"LA LIBERTAD")</f>
        <v/>
      </c>
      <c r="Q14" s="4" t="n">
        <v>11</v>
      </c>
      <c r="R14" s="4" t="n">
        <v>1</v>
      </c>
      <c r="S14" s="8" t="n">
        <v>54.54545454545455</v>
      </c>
      <c r="T14" s="4" t="n">
        <v>1</v>
      </c>
      <c r="U14" s="6">
        <f>IF(M14=0,0,MAX(ABS(N14-R14),ABS(O14-S14)))</f>
        <v/>
      </c>
      <c r="V14" s="2">
        <f>IF(AND(D14=H14,L14&lt;=1e-06,M14=Q14,P14=T14,U14&lt;=1e-06),"Sí","No")</f>
        <v/>
      </c>
    </row>
    <row r="15">
      <c r="A15" s="2" t="n">
        <v>14</v>
      </c>
      <c r="B15" s="2" t="n">
        <v>2453</v>
      </c>
      <c r="C15" s="2" t="inlineStr">
        <is>
          <t>Kilogramo</t>
        </is>
      </c>
      <c r="D15" s="2">
        <f>COUNT(Precios!$N$2:$N$215)</f>
        <v/>
      </c>
      <c r="E15" s="3">
        <f>_xlfn.PERCENTILE.INC(Precios!$N$2:$N$215,0.25)</f>
        <v/>
      </c>
      <c r="F15" s="3">
        <f>MEDIAN(Precios!$N$2:$N$215)</f>
        <v/>
      </c>
      <c r="G15" s="3">
        <f>_xlfn.PERCENTILE.INC(Precios!$N$2:$N$215,0.75)</f>
        <v/>
      </c>
      <c r="H15" s="4" t="n">
        <v>11</v>
      </c>
      <c r="I15" s="5" t="n">
        <v>3.49</v>
      </c>
      <c r="J15" s="5" t="n">
        <v>4.065119999999999</v>
      </c>
      <c r="K15" s="5" t="n">
        <v>5.45</v>
      </c>
      <c r="L15" s="6">
        <f>MAX(ABS(E15-I15),ABS(F15-J15),ABS(G15-K15))</f>
        <v/>
      </c>
      <c r="M15" s="2">
        <f>COUNT(Postores!$N$2:$N$215)</f>
        <v/>
      </c>
      <c r="N15" s="2">
        <f>IF(M15=0,"",MEDIAN(Postores!$N$2:$N$215))</f>
        <v/>
      </c>
      <c r="O15" s="7">
        <f>IF(M15=0,"",COUNTIF(Postores!$N$2:$N$215,1)/M15*100)</f>
        <v/>
      </c>
      <c r="P15" s="2">
        <f>COUNTIF(Departamentos!$N$2:$N$215,"LA LIBERTAD")</f>
        <v/>
      </c>
      <c r="Q15" s="4" t="n">
        <v>11</v>
      </c>
      <c r="R15" s="4" t="n">
        <v>3</v>
      </c>
      <c r="S15" s="8" t="n">
        <v>0</v>
      </c>
      <c r="T15" s="4" t="n">
        <v>0</v>
      </c>
      <c r="U15" s="6">
        <f>IF(M15=0,0,MAX(ABS(N15-R15),ABS(O15-S15)))</f>
        <v/>
      </c>
      <c r="V15" s="2">
        <f>IF(AND(D15=H15,L15&lt;=1e-06,M15=Q15,P15=T15,U15&lt;=1e-06),"Sí","No")</f>
        <v/>
      </c>
    </row>
    <row r="16">
      <c r="A16" s="2" t="n">
        <v>15</v>
      </c>
      <c r="B16" s="2" t="n">
        <v>369538</v>
      </c>
      <c r="C16" s="2" t="inlineStr">
        <is>
          <t>Kilogramo</t>
        </is>
      </c>
      <c r="D16" s="2">
        <f>COUNT(Precios!$O$2:$O$215)</f>
        <v/>
      </c>
      <c r="E16" s="3">
        <f>_xlfn.PERCENTILE.INC(Precios!$O$2:$O$215,0.25)</f>
        <v/>
      </c>
      <c r="F16" s="3">
        <f>MEDIAN(Precios!$O$2:$O$215)</f>
        <v/>
      </c>
      <c r="G16" s="3">
        <f>_xlfn.PERCENTILE.INC(Precios!$O$2:$O$215,0.75)</f>
        <v/>
      </c>
      <c r="H16" s="4" t="n">
        <v>11</v>
      </c>
      <c r="I16" s="5" t="n">
        <v>4.275</v>
      </c>
      <c r="J16" s="5" t="n">
        <v>4.8</v>
      </c>
      <c r="K16" s="5" t="n">
        <v>5.07</v>
      </c>
      <c r="L16" s="6">
        <f>MAX(ABS(E16-I16),ABS(F16-J16),ABS(G16-K16))</f>
        <v/>
      </c>
      <c r="M16" s="2">
        <f>COUNT(Postores!$O$2:$O$215)</f>
        <v/>
      </c>
      <c r="N16" s="2">
        <f>IF(M16=0,"",MEDIAN(Postores!$O$2:$O$215))</f>
        <v/>
      </c>
      <c r="O16" s="7">
        <f>IF(M16=0,"",COUNTIF(Postores!$O$2:$O$215,1)/M16*100)</f>
        <v/>
      </c>
      <c r="P16" s="2">
        <f>COUNTIF(Departamentos!$O$2:$O$215,"LA LIBERTAD")</f>
        <v/>
      </c>
      <c r="Q16" s="4" t="n">
        <v>11</v>
      </c>
      <c r="R16" s="4" t="n">
        <v>3</v>
      </c>
      <c r="S16" s="8" t="n">
        <v>9.090909090909092</v>
      </c>
      <c r="T16" s="4" t="n">
        <v>0</v>
      </c>
      <c r="U16" s="6">
        <f>IF(M16=0,0,MAX(ABS(N16-R16),ABS(O16-S16)))</f>
        <v/>
      </c>
      <c r="V16" s="2">
        <f>IF(AND(D16=H16,L16&lt;=1e-06,M16=Q16,P16=T16,U16&lt;=1e-06),"Sí","No")</f>
        <v/>
      </c>
    </row>
    <row r="17">
      <c r="A17" s="2" t="n">
        <v>16</v>
      </c>
      <c r="B17" s="2" t="n">
        <v>367431</v>
      </c>
      <c r="C17" s="2" t="inlineStr">
        <is>
          <t>Unidad</t>
        </is>
      </c>
      <c r="D17" s="2">
        <f>COUNT(Precios!$P$2:$P$215)</f>
        <v/>
      </c>
      <c r="E17" s="3">
        <f>_xlfn.PERCENTILE.INC(Precios!$P$2:$P$215,0.25)</f>
        <v/>
      </c>
      <c r="F17" s="3">
        <f>MEDIAN(Precios!$P$2:$P$215)</f>
        <v/>
      </c>
      <c r="G17" s="3">
        <f>_xlfn.PERCENTILE.INC(Precios!$P$2:$P$215,0.75)</f>
        <v/>
      </c>
      <c r="H17" s="4" t="n">
        <v>12</v>
      </c>
      <c r="I17" s="5" t="n">
        <v>140.69</v>
      </c>
      <c r="J17" s="5" t="n">
        <v>151.03</v>
      </c>
      <c r="K17" s="5" t="n">
        <v>568.8264023210832</v>
      </c>
      <c r="L17" s="6">
        <f>MAX(ABS(E17-I17),ABS(F17-J17),ABS(G17-K17))</f>
        <v/>
      </c>
      <c r="M17" s="2">
        <f>COUNT(Postores!$P$2:$P$215)</f>
        <v/>
      </c>
      <c r="N17" s="2">
        <f>IF(M17=0,"",MEDIAN(Postores!$P$2:$P$215))</f>
        <v/>
      </c>
      <c r="O17" s="7">
        <f>IF(M17=0,"",COUNTIF(Postores!$P$2:$P$215,1)/M17*100)</f>
        <v/>
      </c>
      <c r="P17" s="2">
        <f>COUNTIF(Departamentos!$P$2:$P$215,"LA LIBERTAD")</f>
        <v/>
      </c>
      <c r="Q17" s="4" t="n">
        <v>12</v>
      </c>
      <c r="R17" s="4" t="n">
        <v>2</v>
      </c>
      <c r="S17" s="8" t="n">
        <v>16.66666666666667</v>
      </c>
      <c r="T17" s="4" t="n">
        <v>1</v>
      </c>
      <c r="U17" s="6">
        <f>IF(M17=0,0,MAX(ABS(N17-R17),ABS(O17-S17)))</f>
        <v/>
      </c>
      <c r="V17" s="2">
        <f>IF(AND(D17=H17,L17&lt;=1e-06,M17=Q17,P17=T17,U17&lt;=1e-06),"Sí","No")</f>
        <v/>
      </c>
    </row>
    <row r="18">
      <c r="A18" s="2" t="n">
        <v>17</v>
      </c>
      <c r="B18" s="2" t="n">
        <v>211221</v>
      </c>
      <c r="C18" s="2" t="inlineStr">
        <is>
          <t>Millar</t>
        </is>
      </c>
      <c r="D18" s="2">
        <f>COUNT(Precios!$Q$2:$Q$215)</f>
        <v/>
      </c>
      <c r="E18" s="3">
        <f>_xlfn.PERCENTILE.INC(Precios!$Q$2:$Q$215,0.25)</f>
        <v/>
      </c>
      <c r="F18" s="3">
        <f>MEDIAN(Precios!$Q$2:$Q$215)</f>
        <v/>
      </c>
      <c r="G18" s="3">
        <f>_xlfn.PERCENTILE.INC(Precios!$Q$2:$Q$215,0.75)</f>
        <v/>
      </c>
      <c r="H18" s="4" t="n">
        <v>12</v>
      </c>
      <c r="I18" s="5" t="n">
        <v>150</v>
      </c>
      <c r="J18" s="5" t="n">
        <v>153.5</v>
      </c>
      <c r="K18" s="5" t="n">
        <v>162.375</v>
      </c>
      <c r="L18" s="6">
        <f>MAX(ABS(E18-I18),ABS(F18-J18),ABS(G18-K18))</f>
        <v/>
      </c>
      <c r="M18" s="2">
        <f>COUNT(Postores!$Q$2:$Q$215)</f>
        <v/>
      </c>
      <c r="N18" s="2">
        <f>IF(M18=0,"",MEDIAN(Postores!$Q$2:$Q$215))</f>
        <v/>
      </c>
      <c r="O18" s="7">
        <f>IF(M18=0,"",COUNTIF(Postores!$Q$2:$Q$215,1)/M18*100)</f>
        <v/>
      </c>
      <c r="P18" s="2">
        <f>COUNTIF(Departamentos!$Q$2:$Q$215,"LA LIBERTAD")</f>
        <v/>
      </c>
      <c r="Q18" s="4" t="n">
        <v>12</v>
      </c>
      <c r="R18" s="4" t="n">
        <v>3</v>
      </c>
      <c r="S18" s="8" t="n">
        <v>8.333333333333334</v>
      </c>
      <c r="T18" s="4" t="n">
        <v>0</v>
      </c>
      <c r="U18" s="6">
        <f>IF(M18=0,0,MAX(ABS(N18-R18),ABS(O18-S18)))</f>
        <v/>
      </c>
      <c r="V18" s="2">
        <f>IF(AND(D18=H18,L18&lt;=1e-06,M18=Q18,P18=T18,U18&lt;=1e-06),"Sí","No")</f>
        <v/>
      </c>
    </row>
    <row r="19">
      <c r="A19" s="2" t="n">
        <v>18</v>
      </c>
      <c r="B19" s="2" t="n">
        <v>60267</v>
      </c>
      <c r="C19" s="2" t="inlineStr">
        <is>
          <t>Unidad</t>
        </is>
      </c>
      <c r="D19" s="2">
        <f>COUNT(Precios!$R$2:$R$215)</f>
        <v/>
      </c>
      <c r="E19" s="3">
        <f>_xlfn.PERCENTILE.INC(Precios!$R$2:$R$215,0.25)</f>
        <v/>
      </c>
      <c r="F19" s="3">
        <f>MEDIAN(Precios!$R$2:$R$215)</f>
        <v/>
      </c>
      <c r="G19" s="3">
        <f>_xlfn.PERCENTILE.INC(Precios!$R$2:$R$215,0.75)</f>
        <v/>
      </c>
      <c r="H19" s="4" t="n">
        <v>12</v>
      </c>
      <c r="I19" s="5" t="n">
        <v>29.5</v>
      </c>
      <c r="J19" s="5" t="n">
        <v>31.5</v>
      </c>
      <c r="K19" s="5" t="n">
        <v>35</v>
      </c>
      <c r="L19" s="6">
        <f>MAX(ABS(E19-I19),ABS(F19-J19),ABS(G19-K19))</f>
        <v/>
      </c>
      <c r="M19" s="2">
        <f>COUNT(Postores!$R$2:$R$215)</f>
        <v/>
      </c>
      <c r="N19" s="2">
        <f>IF(M19=0,"",MEDIAN(Postores!$R$2:$R$215))</f>
        <v/>
      </c>
      <c r="O19" s="7">
        <f>IF(M19=0,"",COUNTIF(Postores!$R$2:$R$215,1)/M19*100)</f>
        <v/>
      </c>
      <c r="P19" s="2">
        <f>COUNTIF(Departamentos!$R$2:$R$215,"LA LIBERTAD")</f>
        <v/>
      </c>
      <c r="Q19" s="4" t="n">
        <v>12</v>
      </c>
      <c r="R19" s="4" t="n">
        <v>2.5</v>
      </c>
      <c r="S19" s="8" t="n">
        <v>41.66666666666666</v>
      </c>
      <c r="T19" s="4" t="n">
        <v>0</v>
      </c>
      <c r="U19" s="6">
        <f>IF(M19=0,0,MAX(ABS(N19-R19),ABS(O19-S19)))</f>
        <v/>
      </c>
      <c r="V19" s="2">
        <f>IF(AND(D19=H19,L19&lt;=1e-06,M19=Q19,P19=T19,U19&lt;=1e-06),"Sí","No")</f>
        <v/>
      </c>
    </row>
    <row r="20">
      <c r="A20" s="2" t="n">
        <v>19</v>
      </c>
      <c r="B20" s="2" t="n">
        <v>380409</v>
      </c>
      <c r="C20" s="2" t="inlineStr">
        <is>
          <t>Unidad</t>
        </is>
      </c>
      <c r="D20" s="2">
        <f>COUNT(Precios!$S$2:$S$215)</f>
        <v/>
      </c>
      <c r="E20" s="3">
        <f>_xlfn.PERCENTILE.INC(Precios!$S$2:$S$215,0.25)</f>
        <v/>
      </c>
      <c r="F20" s="3">
        <f>MEDIAN(Precios!$S$2:$S$215)</f>
        <v/>
      </c>
      <c r="G20" s="3">
        <f>_xlfn.PERCENTILE.INC(Precios!$S$2:$S$215,0.75)</f>
        <v/>
      </c>
      <c r="H20" s="4" t="n">
        <v>16</v>
      </c>
      <c r="I20" s="5" t="n">
        <v>43281.4975</v>
      </c>
      <c r="J20" s="5" t="n">
        <v>58125</v>
      </c>
      <c r="K20" s="5" t="n">
        <v>90476.0275</v>
      </c>
      <c r="L20" s="6">
        <f>MAX(ABS(E20-I20),ABS(F20-J20),ABS(G20-K20))</f>
        <v/>
      </c>
      <c r="M20" s="2">
        <f>COUNT(Postores!$S$2:$S$215)</f>
        <v/>
      </c>
      <c r="N20" s="2">
        <f>IF(M20=0,"",MEDIAN(Postores!$S$2:$S$215))</f>
        <v/>
      </c>
      <c r="O20" s="7">
        <f>IF(M20=0,"",COUNTIF(Postores!$S$2:$S$215,1)/M20*100)</f>
        <v/>
      </c>
      <c r="P20" s="2">
        <f>COUNTIF(Departamentos!$S$2:$S$215,"LA LIBERTAD")</f>
        <v/>
      </c>
      <c r="Q20" s="4" t="n">
        <v>16</v>
      </c>
      <c r="R20" s="4" t="n">
        <v>3</v>
      </c>
      <c r="S20" s="8" t="n">
        <v>31.25</v>
      </c>
      <c r="T20" s="4" t="n">
        <v>0</v>
      </c>
      <c r="U20" s="6">
        <f>IF(M20=0,0,MAX(ABS(N20-R20),ABS(O20-S20)))</f>
        <v/>
      </c>
      <c r="V20" s="2">
        <f>IF(AND(D20=H20,L20&lt;=1e-06,M20=Q20,P20=T20,U20&lt;=1e-06),"Sí","No")</f>
        <v/>
      </c>
    </row>
    <row r="21">
      <c r="A21" s="2" t="n">
        <v>20</v>
      </c>
      <c r="B21" s="2" t="n">
        <v>59202</v>
      </c>
      <c r="C21" s="2" t="inlineStr">
        <is>
          <t>Unidad</t>
        </is>
      </c>
      <c r="D21" s="2">
        <f>COUNT(Precios!$T$2:$T$215)</f>
        <v/>
      </c>
      <c r="E21" s="3">
        <f>_xlfn.PERCENTILE.INC(Precios!$T$2:$T$215,0.25)</f>
        <v/>
      </c>
      <c r="F21" s="3">
        <f>MEDIAN(Precios!$T$2:$T$215)</f>
        <v/>
      </c>
      <c r="G21" s="3">
        <f>_xlfn.PERCENTILE.INC(Precios!$T$2:$T$215,0.75)</f>
        <v/>
      </c>
      <c r="H21" s="4" t="n">
        <v>17</v>
      </c>
      <c r="I21" s="5" t="n">
        <v>1.55</v>
      </c>
      <c r="J21" s="5" t="n">
        <v>1.8</v>
      </c>
      <c r="K21" s="5" t="n">
        <v>2.35</v>
      </c>
      <c r="L21" s="6">
        <f>MAX(ABS(E21-I21),ABS(F21-J21),ABS(G21-K21))</f>
        <v/>
      </c>
      <c r="M21" s="2">
        <f>COUNT(Postores!$T$2:$T$215)</f>
        <v/>
      </c>
      <c r="N21" s="2">
        <f>IF(M21=0,"",MEDIAN(Postores!$T$2:$T$215))</f>
        <v/>
      </c>
      <c r="O21" s="7">
        <f>IF(M21=0,"",COUNTIF(Postores!$T$2:$T$215,1)/M21*100)</f>
        <v/>
      </c>
      <c r="P21" s="2">
        <f>COUNTIF(Departamentos!$T$2:$T$215,"LA LIBERTAD")</f>
        <v/>
      </c>
      <c r="Q21" s="4" t="n">
        <v>17</v>
      </c>
      <c r="R21" s="4" t="n">
        <v>6</v>
      </c>
      <c r="S21" s="8" t="n">
        <v>0</v>
      </c>
      <c r="T21" s="4" t="n">
        <v>0</v>
      </c>
      <c r="U21" s="6">
        <f>IF(M21=0,0,MAX(ABS(N21-R21),ABS(O21-S21)))</f>
        <v/>
      </c>
      <c r="V21" s="2">
        <f>IF(AND(D21=H21,L21&lt;=1e-06,M21=Q21,P21=T21,U21&lt;=1e-06),"Sí","No")</f>
        <v/>
      </c>
    </row>
    <row r="22">
      <c r="A22" s="2" t="n">
        <v>21</v>
      </c>
      <c r="B22" s="2" t="n">
        <v>178724</v>
      </c>
      <c r="C22" s="2" t="inlineStr">
        <is>
          <t>Unidad</t>
        </is>
      </c>
      <c r="D22" s="2">
        <f>COUNT(Precios!$U$2:$U$215)</f>
        <v/>
      </c>
      <c r="E22" s="3">
        <f>_xlfn.PERCENTILE.INC(Precios!$U$2:$U$215,0.25)</f>
        <v/>
      </c>
      <c r="F22" s="3">
        <f>MEDIAN(Precios!$U$2:$U$215)</f>
        <v/>
      </c>
      <c r="G22" s="3">
        <f>_xlfn.PERCENTILE.INC(Precios!$U$2:$U$215,0.75)</f>
        <v/>
      </c>
      <c r="H22" s="4" t="n">
        <v>30</v>
      </c>
      <c r="I22" s="5" t="n">
        <v>27.199</v>
      </c>
      <c r="J22" s="5" t="n">
        <v>34.15</v>
      </c>
      <c r="K22" s="5" t="n">
        <v>598.75</v>
      </c>
      <c r="L22" s="6">
        <f>MAX(ABS(E22-I22),ABS(F22-J22),ABS(G22-K22))</f>
        <v/>
      </c>
      <c r="M22" s="2">
        <f>COUNT(Postores!$U$2:$U$215)</f>
        <v/>
      </c>
      <c r="N22" s="2">
        <f>IF(M22=0,"",MEDIAN(Postores!$U$2:$U$215))</f>
        <v/>
      </c>
      <c r="O22" s="7">
        <f>IF(M22=0,"",COUNTIF(Postores!$U$2:$U$215,1)/M22*100)</f>
        <v/>
      </c>
      <c r="P22" s="2">
        <f>COUNTIF(Departamentos!$U$2:$U$215,"LA LIBERTAD")</f>
        <v/>
      </c>
      <c r="Q22" s="4" t="n">
        <v>30</v>
      </c>
      <c r="R22" s="4" t="n">
        <v>1</v>
      </c>
      <c r="S22" s="8" t="n">
        <v>76.66666666666667</v>
      </c>
      <c r="T22" s="4" t="n">
        <v>1</v>
      </c>
      <c r="U22" s="6">
        <f>IF(M22=0,0,MAX(ABS(N22-R22),ABS(O22-S22)))</f>
        <v/>
      </c>
      <c r="V22" s="2">
        <f>IF(AND(D22=H22,L22&lt;=1e-06,M22=Q22,P22=T22,U22&lt;=1e-06),"Sí","No")</f>
        <v/>
      </c>
    </row>
    <row r="23">
      <c r="A23" s="2" t="n">
        <v>22</v>
      </c>
      <c r="B23" s="2" t="n">
        <v>329939</v>
      </c>
      <c r="C23" s="2" t="inlineStr">
        <is>
          <t>Galon</t>
        </is>
      </c>
      <c r="D23" s="2">
        <f>COUNT(Precios!$V$2:$V$215)</f>
        <v/>
      </c>
      <c r="E23" s="3">
        <f>_xlfn.PERCENTILE.INC(Precios!$V$2:$V$215,0.25)</f>
        <v/>
      </c>
      <c r="F23" s="3">
        <f>MEDIAN(Precios!$V$2:$V$215)</f>
        <v/>
      </c>
      <c r="G23" s="3">
        <f>_xlfn.PERCENTILE.INC(Precios!$V$2:$V$215,0.75)</f>
        <v/>
      </c>
      <c r="H23" s="4" t="n">
        <v>32</v>
      </c>
      <c r="I23" s="5" t="n">
        <v>13.8640127388535</v>
      </c>
      <c r="J23" s="5" t="n">
        <v>15.24550006071564</v>
      </c>
      <c r="K23" s="5" t="n">
        <v>18.36545736347774</v>
      </c>
      <c r="L23" s="6">
        <f>MAX(ABS(E23-I23),ABS(F23-J23),ABS(G23-K23))</f>
        <v/>
      </c>
      <c r="M23" s="2">
        <f>COUNT(Postores!$V$2:$V$215)</f>
        <v/>
      </c>
      <c r="N23" s="2">
        <f>IF(M23=0,"",MEDIAN(Postores!$V$2:$V$215))</f>
        <v/>
      </c>
      <c r="O23" s="7">
        <f>IF(M23=0,"",COUNTIF(Postores!$V$2:$V$215,1)/M23*100)</f>
        <v/>
      </c>
      <c r="P23" s="2">
        <f>COUNTIF(Departamentos!$V$2:$V$215,"LA LIBERTAD")</f>
        <v/>
      </c>
      <c r="Q23" s="4" t="n">
        <v>32</v>
      </c>
      <c r="R23" s="4" t="n">
        <v>6</v>
      </c>
      <c r="S23" s="8" t="n">
        <v>3.125</v>
      </c>
      <c r="T23" s="4" t="n">
        <v>0</v>
      </c>
      <c r="U23" s="6">
        <f>IF(M23=0,0,MAX(ABS(N23-R23),ABS(O23-S23)))</f>
        <v/>
      </c>
      <c r="V23" s="2">
        <f>IF(AND(D23=H23,L23&lt;=1e-06,M23=Q23,P23=T23,U23&lt;=1e-06),"Sí","No")</f>
        <v/>
      </c>
    </row>
    <row r="24">
      <c r="A24" s="2" t="n">
        <v>23</v>
      </c>
      <c r="B24" s="2" t="n">
        <v>385153</v>
      </c>
      <c r="C24" s="2" t="inlineStr">
        <is>
          <t>Unidad</t>
        </is>
      </c>
      <c r="D24" s="2">
        <f>COUNT(Precios!$W$2:$W$215)</f>
        <v/>
      </c>
      <c r="E24" s="3">
        <f>_xlfn.PERCENTILE.INC(Precios!$W$2:$W$215,0.25)</f>
        <v/>
      </c>
      <c r="F24" s="3">
        <f>MEDIAN(Precios!$W$2:$W$215)</f>
        <v/>
      </c>
      <c r="G24" s="3">
        <f>_xlfn.PERCENTILE.INC(Precios!$W$2:$W$215,0.75)</f>
        <v/>
      </c>
      <c r="H24" s="4" t="n">
        <v>33</v>
      </c>
      <c r="I24" s="5" t="n">
        <v>9.199999999999999</v>
      </c>
      <c r="J24" s="5" t="n">
        <v>17.55344332855093</v>
      </c>
      <c r="K24" s="5" t="n">
        <v>28</v>
      </c>
      <c r="L24" s="6">
        <f>MAX(ABS(E24-I24),ABS(F24-J24),ABS(G24-K24))</f>
        <v/>
      </c>
      <c r="M24" s="2">
        <f>COUNT(Postores!$W$2:$W$215)</f>
        <v/>
      </c>
      <c r="N24" s="2">
        <f>IF(M24=0,"",MEDIAN(Postores!$W$2:$W$215))</f>
        <v/>
      </c>
      <c r="O24" s="7">
        <f>IF(M24=0,"",COUNTIF(Postores!$W$2:$W$215,1)/M24*100)</f>
        <v/>
      </c>
      <c r="P24" s="2">
        <f>COUNTIF(Departamentos!$W$2:$W$215,"LA LIBERTAD")</f>
        <v/>
      </c>
      <c r="Q24" s="4" t="n">
        <v>33</v>
      </c>
      <c r="R24" s="4" t="n">
        <v>5</v>
      </c>
      <c r="S24" s="8" t="n">
        <v>0</v>
      </c>
      <c r="T24" s="4" t="n">
        <v>1</v>
      </c>
      <c r="U24" s="6">
        <f>IF(M24=0,0,MAX(ABS(N24-R24),ABS(O24-S24)))</f>
        <v/>
      </c>
      <c r="V24" s="2">
        <f>IF(AND(D24=H24,L24&lt;=1e-06,M24=Q24,P24=T24,U24&lt;=1e-06),"Sí","No")</f>
        <v/>
      </c>
    </row>
    <row r="25">
      <c r="A25" s="2" t="n">
        <v>24</v>
      </c>
      <c r="B25" s="2" t="n">
        <v>151276</v>
      </c>
      <c r="C25" s="2" t="inlineStr">
        <is>
          <t>M2</t>
        </is>
      </c>
      <c r="D25" s="2">
        <f>COUNT(Precios!$X$2:$X$215)</f>
        <v/>
      </c>
      <c r="E25" s="3">
        <f>_xlfn.PERCENTILE.INC(Precios!$X$2:$X$215,0.25)</f>
        <v/>
      </c>
      <c r="F25" s="3">
        <f>MEDIAN(Precios!$X$2:$X$215)</f>
        <v/>
      </c>
      <c r="G25" s="3">
        <f>_xlfn.PERCENTILE.INC(Precios!$X$2:$X$215,0.75)</f>
        <v/>
      </c>
      <c r="H25" s="4" t="n">
        <v>62</v>
      </c>
      <c r="I25" s="5" t="n">
        <v>69.20157068062827</v>
      </c>
      <c r="J25" s="5" t="n">
        <v>109.8780487804878</v>
      </c>
      <c r="K25" s="5" t="n">
        <v>148.9277855153203</v>
      </c>
      <c r="L25" s="6">
        <f>MAX(ABS(E25-I25),ABS(F25-J25),ABS(G25-K25))</f>
        <v/>
      </c>
      <c r="M25" s="2">
        <f>COUNT(Postores!$X$2:$X$215)</f>
        <v/>
      </c>
      <c r="N25" s="2">
        <f>IF(M25=0,"",MEDIAN(Postores!$X$2:$X$215))</f>
        <v/>
      </c>
      <c r="O25" s="7">
        <f>IF(M25=0,"",COUNTIF(Postores!$X$2:$X$215,1)/M25*100)</f>
        <v/>
      </c>
      <c r="P25" s="2">
        <f>COUNTIF(Departamentos!$X$2:$X$215,"LA LIBERTAD")</f>
        <v/>
      </c>
      <c r="Q25" s="4" t="n">
        <v>62</v>
      </c>
      <c r="R25" s="4" t="n">
        <v>3</v>
      </c>
      <c r="S25" s="8" t="n">
        <v>6.451612903225806</v>
      </c>
      <c r="T25" s="4" t="n">
        <v>0</v>
      </c>
      <c r="U25" s="6">
        <f>IF(M25=0,0,MAX(ABS(N25-R25),ABS(O25-S25)))</f>
        <v/>
      </c>
      <c r="V25" s="2">
        <f>IF(AND(D25=H25,L25&lt;=1e-06,M25=Q25,P25=T25,U25&lt;=1e-06),"Sí","No")</f>
        <v/>
      </c>
    </row>
    <row r="26">
      <c r="A26" s="2" t="n">
        <v>25</v>
      </c>
      <c r="B26" s="2" t="n">
        <v>64564</v>
      </c>
      <c r="C26" s="2" t="inlineStr">
        <is>
          <t>Unidad</t>
        </is>
      </c>
      <c r="D26" s="2">
        <f>COUNT(Precios!$Y$2:$Y$215)</f>
        <v/>
      </c>
      <c r="E26" s="3">
        <f>_xlfn.PERCENTILE.INC(Precios!$Y$2:$Y$215,0.25)</f>
        <v/>
      </c>
      <c r="F26" s="3">
        <f>MEDIAN(Precios!$Y$2:$Y$215)</f>
        <v/>
      </c>
      <c r="G26" s="3">
        <f>_xlfn.PERCENTILE.INC(Precios!$Y$2:$Y$215,0.75)</f>
        <v/>
      </c>
      <c r="H26" s="4" t="n">
        <v>63</v>
      </c>
      <c r="I26" s="5" t="n">
        <v>469395</v>
      </c>
      <c r="J26" s="5" t="n">
        <v>490000</v>
      </c>
      <c r="K26" s="5" t="n">
        <v>544840.5800000001</v>
      </c>
      <c r="L26" s="6">
        <f>MAX(ABS(E26-I26),ABS(F26-J26),ABS(G26-K26))</f>
        <v/>
      </c>
      <c r="M26" s="2">
        <f>COUNT(Postores!$Y$2:$Y$215)</f>
        <v/>
      </c>
      <c r="N26" s="2">
        <f>IF(M26=0,"",MEDIAN(Postores!$Y$2:$Y$215))</f>
        <v/>
      </c>
      <c r="O26" s="7">
        <f>IF(M26=0,"",COUNTIF(Postores!$Y$2:$Y$215,1)/M26*100)</f>
        <v/>
      </c>
      <c r="P26" s="2">
        <f>COUNTIF(Departamentos!$Y$2:$Y$215,"LA LIBERTAD")</f>
        <v/>
      </c>
      <c r="Q26" s="4" t="n">
        <v>63</v>
      </c>
      <c r="R26" s="4" t="n">
        <v>1</v>
      </c>
      <c r="S26" s="8" t="n">
        <v>57.14285714285715</v>
      </c>
      <c r="T26" s="4" t="n">
        <v>5</v>
      </c>
      <c r="U26" s="6">
        <f>IF(M26=0,0,MAX(ABS(N26-R26),ABS(O26-S26)))</f>
        <v/>
      </c>
      <c r="V26" s="2">
        <f>IF(AND(D26=H26,L26&lt;=1e-06,M26=Q26,P26=T26,U26&lt;=1e-06),"Sí","No")</f>
        <v/>
      </c>
    </row>
    <row r="27">
      <c r="A27" s="2" t="n">
        <v>26</v>
      </c>
      <c r="B27" s="2" t="n">
        <v>65085</v>
      </c>
      <c r="C27" s="2" t="inlineStr">
        <is>
          <t>Unidad</t>
        </is>
      </c>
      <c r="D27" s="2">
        <f>COUNT(Precios!$Z$2:$Z$215)</f>
        <v/>
      </c>
      <c r="E27" s="3">
        <f>_xlfn.PERCENTILE.INC(Precios!$Z$2:$Z$215,0.25)</f>
        <v/>
      </c>
      <c r="F27" s="3">
        <f>MEDIAN(Precios!$Z$2:$Z$215)</f>
        <v/>
      </c>
      <c r="G27" s="3">
        <f>_xlfn.PERCENTILE.INC(Precios!$Z$2:$Z$215,0.75)</f>
        <v/>
      </c>
      <c r="H27" s="4" t="n">
        <v>72</v>
      </c>
      <c r="I27" s="5" t="n">
        <v>284975</v>
      </c>
      <c r="J27" s="5" t="n">
        <v>316225</v>
      </c>
      <c r="K27" s="5" t="n">
        <v>355600</v>
      </c>
      <c r="L27" s="6">
        <f>MAX(ABS(E27-I27),ABS(F27-J27),ABS(G27-K27))</f>
        <v/>
      </c>
      <c r="M27" s="2">
        <f>COUNT(Postores!$Z$2:$Z$215)</f>
        <v/>
      </c>
      <c r="N27" s="2">
        <f>IF(M27=0,"",MEDIAN(Postores!$Z$2:$Z$215))</f>
        <v/>
      </c>
      <c r="O27" s="7">
        <f>IF(M27=0,"",COUNTIF(Postores!$Z$2:$Z$215,1)/M27*100)</f>
        <v/>
      </c>
      <c r="P27" s="2">
        <f>COUNTIF(Departamentos!$Z$2:$Z$215,"LA LIBERTAD")</f>
        <v/>
      </c>
      <c r="Q27" s="4" t="n">
        <v>72</v>
      </c>
      <c r="R27" s="4" t="n">
        <v>1</v>
      </c>
      <c r="S27" s="8" t="n">
        <v>66.66666666666667</v>
      </c>
      <c r="T27" s="4" t="n">
        <v>2</v>
      </c>
      <c r="U27" s="6">
        <f>IF(M27=0,0,MAX(ABS(N27-R27),ABS(O27-S27)))</f>
        <v/>
      </c>
      <c r="V27" s="2">
        <f>IF(AND(D27=H27,L27&lt;=1e-06,M27=Q27,P27=T27,U27&lt;=1e-06),"Sí","No")</f>
        <v/>
      </c>
    </row>
    <row r="28">
      <c r="A28" s="2" t="n">
        <v>27</v>
      </c>
      <c r="B28" s="2" t="n">
        <v>259255</v>
      </c>
      <c r="C28" s="2" t="inlineStr">
        <is>
          <t>Unidad</t>
        </is>
      </c>
      <c r="D28" s="2">
        <f>COUNT(Precios!$AA$2:$AA$215)</f>
        <v/>
      </c>
      <c r="E28" s="3">
        <f>_xlfn.PERCENTILE.INC(Precios!$AA$2:$AA$215,0.25)</f>
        <v/>
      </c>
      <c r="F28" s="3">
        <f>MEDIAN(Precios!$AA$2:$AA$215)</f>
        <v/>
      </c>
      <c r="G28" s="3">
        <f>_xlfn.PERCENTILE.INC(Precios!$AA$2:$AA$215,0.75)</f>
        <v/>
      </c>
      <c r="H28" s="4" t="n">
        <v>86</v>
      </c>
      <c r="I28" s="5" t="n">
        <v>25.9775</v>
      </c>
      <c r="J28" s="5" t="n">
        <v>30</v>
      </c>
      <c r="K28" s="5" t="n">
        <v>31.45029319195174</v>
      </c>
      <c r="L28" s="6">
        <f>MAX(ABS(E28-I28),ABS(F28-J28),ABS(G28-K28))</f>
        <v/>
      </c>
      <c r="M28" s="2">
        <f>COUNT(Postores!$AA$2:$AA$215)</f>
        <v/>
      </c>
      <c r="N28" s="2">
        <f>IF(M28=0,"",MEDIAN(Postores!$AA$2:$AA$215))</f>
        <v/>
      </c>
      <c r="O28" s="7">
        <f>IF(M28=0,"",COUNTIF(Postores!$AA$2:$AA$215,1)/M28*100)</f>
        <v/>
      </c>
      <c r="P28" s="2">
        <f>COUNTIF(Departamentos!$AA$2:$AA$215,"LA LIBERTAD")</f>
        <v/>
      </c>
      <c r="Q28" s="4" t="n">
        <v>86</v>
      </c>
      <c r="R28" s="4" t="n">
        <v>4</v>
      </c>
      <c r="S28" s="8" t="n">
        <v>0</v>
      </c>
      <c r="T28" s="4" t="n">
        <v>8</v>
      </c>
      <c r="U28" s="6">
        <f>IF(M28=0,0,MAX(ABS(N28-R28),ABS(O28-S28)))</f>
        <v/>
      </c>
      <c r="V28" s="2">
        <f>IF(AND(D28=H28,L28&lt;=1e-06,M28=Q28,P28=T28,U28&lt;=1e-06),"Sí","No")</f>
        <v/>
      </c>
    </row>
    <row r="29">
      <c r="A29" s="2" t="n">
        <v>28</v>
      </c>
      <c r="B29" s="2" t="n">
        <v>2675</v>
      </c>
      <c r="C29" s="2" t="inlineStr">
        <is>
          <t>Kilogramo</t>
        </is>
      </c>
      <c r="D29" s="2">
        <f>COUNT(Precios!$AB$2:$AB$215)</f>
        <v/>
      </c>
      <c r="E29" s="3">
        <f>_xlfn.PERCENTILE.INC(Precios!$AB$2:$AB$215,0.25)</f>
        <v/>
      </c>
      <c r="F29" s="3">
        <f>MEDIAN(Precios!$AB$2:$AB$215)</f>
        <v/>
      </c>
      <c r="G29" s="3">
        <f>_xlfn.PERCENTILE.INC(Precios!$AB$2:$AB$215,0.75)</f>
        <v/>
      </c>
      <c r="H29" s="4" t="n">
        <v>121</v>
      </c>
      <c r="I29" s="5" t="n">
        <v>3.401811894882435</v>
      </c>
      <c r="J29" s="5" t="n">
        <v>4.26</v>
      </c>
      <c r="K29" s="5" t="n">
        <v>5.600467289719626</v>
      </c>
      <c r="L29" s="6">
        <f>MAX(ABS(E29-I29),ABS(F29-J29),ABS(G29-K29))</f>
        <v/>
      </c>
      <c r="M29" s="2">
        <f>COUNT(Postores!$AB$2:$AB$215)</f>
        <v/>
      </c>
      <c r="N29" s="2">
        <f>IF(M29=0,"",MEDIAN(Postores!$AB$2:$AB$215))</f>
        <v/>
      </c>
      <c r="O29" s="7">
        <f>IF(M29=0,"",COUNTIF(Postores!$AB$2:$AB$215,1)/M29*100)</f>
        <v/>
      </c>
      <c r="P29" s="2">
        <f>COUNTIF(Departamentos!$AB$2:$AB$215,"LA LIBERTAD")</f>
        <v/>
      </c>
      <c r="Q29" s="4" t="n">
        <v>121</v>
      </c>
      <c r="R29" s="4" t="n">
        <v>15</v>
      </c>
      <c r="S29" s="8" t="n">
        <v>12.39669421487603</v>
      </c>
      <c r="T29" s="4" t="n">
        <v>6</v>
      </c>
      <c r="U29" s="6">
        <f>IF(M29=0,0,MAX(ABS(N29-R29),ABS(O29-S29)))</f>
        <v/>
      </c>
      <c r="V29" s="2">
        <f>IF(AND(D29=H29,L29&lt;=1e-06,M29=Q29,P29=T29,U29&lt;=1e-06),"Sí","No")</f>
        <v/>
      </c>
    </row>
    <row r="30">
      <c r="A30" s="2" t="n">
        <v>29</v>
      </c>
      <c r="B30" s="2" t="n">
        <v>385506</v>
      </c>
      <c r="C30" s="2" t="inlineStr">
        <is>
          <t>Unidad</t>
        </is>
      </c>
      <c r="D30" s="2">
        <f>COUNT(Precios!$AC$2:$AC$215)</f>
        <v/>
      </c>
      <c r="E30" s="3">
        <f>_xlfn.PERCENTILE.INC(Precios!$AC$2:$AC$215,0.25)</f>
        <v/>
      </c>
      <c r="F30" s="3">
        <f>MEDIAN(Precios!$AC$2:$AC$215)</f>
        <v/>
      </c>
      <c r="G30" s="3">
        <f>_xlfn.PERCENTILE.INC(Precios!$AC$2:$AC$215,0.75)</f>
        <v/>
      </c>
      <c r="H30" s="4" t="n">
        <v>127</v>
      </c>
      <c r="I30" s="5" t="n">
        <v>941450</v>
      </c>
      <c r="J30" s="5" t="n">
        <v>1143871</v>
      </c>
      <c r="K30" s="5" t="n">
        <v>1304284.915</v>
      </c>
      <c r="L30" s="6">
        <f>MAX(ABS(E30-I30),ABS(F30-J30),ABS(G30-K30))</f>
        <v/>
      </c>
      <c r="M30" s="2">
        <f>COUNT(Postores!$AC$2:$AC$215)</f>
        <v/>
      </c>
      <c r="N30" s="2">
        <f>IF(M30=0,"",MEDIAN(Postores!$AC$2:$AC$215))</f>
        <v/>
      </c>
      <c r="O30" s="7">
        <f>IF(M30=0,"",COUNTIF(Postores!$AC$2:$AC$215,1)/M30*100)</f>
        <v/>
      </c>
      <c r="P30" s="2">
        <f>COUNTIF(Departamentos!$AC$2:$AC$215,"LA LIBERTAD")</f>
        <v/>
      </c>
      <c r="Q30" s="4" t="n">
        <v>126</v>
      </c>
      <c r="R30" s="4" t="n">
        <v>1</v>
      </c>
      <c r="S30" s="8" t="n">
        <v>63.49206349206349</v>
      </c>
      <c r="T30" s="4" t="n">
        <v>5</v>
      </c>
      <c r="U30" s="6">
        <f>IF(M30=0,0,MAX(ABS(N30-R30),ABS(O30-S30)))</f>
        <v/>
      </c>
      <c r="V30" s="2">
        <f>IF(AND(D30=H30,L30&lt;=1e-06,M30=Q30,P30=T30,U30&lt;=1e-06),"Sí","No")</f>
        <v/>
      </c>
    </row>
    <row r="31">
      <c r="A31" s="2" t="n">
        <v>30</v>
      </c>
      <c r="B31" s="2" t="n">
        <v>134565</v>
      </c>
      <c r="C31" s="2" t="inlineStr">
        <is>
          <t>Unidad</t>
        </is>
      </c>
      <c r="D31" s="2">
        <f>COUNT(Precios!$AD$2:$AD$215)</f>
        <v/>
      </c>
      <c r="E31" s="3">
        <f>_xlfn.PERCENTILE.INC(Precios!$AD$2:$AD$215,0.25)</f>
        <v/>
      </c>
      <c r="F31" s="3">
        <f>MEDIAN(Precios!$AD$2:$AD$215)</f>
        <v/>
      </c>
      <c r="G31" s="3">
        <f>_xlfn.PERCENTILE.INC(Precios!$AD$2:$AD$215,0.75)</f>
        <v/>
      </c>
      <c r="H31" s="4" t="n">
        <v>214</v>
      </c>
      <c r="I31" s="5" t="n">
        <v>2.099241469187667</v>
      </c>
      <c r="J31" s="5" t="n">
        <v>2.2</v>
      </c>
      <c r="K31" s="5" t="n">
        <v>2.3725</v>
      </c>
      <c r="L31" s="6">
        <f>MAX(ABS(E31-I31),ABS(F31-J31),ABS(G31-K31))</f>
        <v/>
      </c>
      <c r="M31" s="2">
        <f>COUNT(Postores!$AD$2:$AD$215)</f>
        <v/>
      </c>
      <c r="N31" s="2">
        <f>IF(M31=0,"",MEDIAN(Postores!$AD$2:$AD$215))</f>
        <v/>
      </c>
      <c r="O31" s="7">
        <f>IF(M31=0,"",COUNTIF(Postores!$AD$2:$AD$215,1)/M31*100)</f>
        <v/>
      </c>
      <c r="P31" s="2">
        <f>COUNTIF(Departamentos!$AD$2:$AD$215,"LA LIBERTAD")</f>
        <v/>
      </c>
      <c r="Q31" s="4" t="n">
        <v>214</v>
      </c>
      <c r="R31" s="4" t="n">
        <v>2</v>
      </c>
      <c r="S31" s="8" t="n">
        <v>49.53271028037383</v>
      </c>
      <c r="T31" s="4" t="n">
        <v>2</v>
      </c>
      <c r="U31" s="6">
        <f>IF(M31=0,0,MAX(ABS(N31-R31),ABS(O31-S31)))</f>
        <v/>
      </c>
      <c r="V31" s="2">
        <f>IF(AND(D31=H31,L31&lt;=1e-06,M31=Q31,P31=T31,U31&lt;=1e-06),"Sí","No")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1" t="inlineStr">
        <is>
          <t>Discrepancias</t>
        </is>
      </c>
      <c r="B33" s="1">
        <f>COUNTIF(V2:V31,"No")</f>
        <v/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Columnas en azul: valores calculados por el agente analista. Columnas (Excel): fórmulas sobre las hojas Precios, Postores y Departamentos.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5"/>
  <sheetViews>
    <sheetView workbookViewId="0">
      <selection activeCell="A1" sqref="A1"/>
    </sheetView>
  </sheetViews>
  <sheetFormatPr baseColWidth="8" defaultRowHeight="15"/>
  <sheetData>
    <row r="1">
      <c r="A1" s="1" t="n">
        <v>61903</v>
      </c>
      <c r="B1" s="1" t="n">
        <v>388620</v>
      </c>
      <c r="C1" s="1" t="n">
        <v>362466</v>
      </c>
      <c r="D1" s="1" t="n">
        <v>390554</v>
      </c>
      <c r="E1" s="1" t="n">
        <v>392233</v>
      </c>
      <c r="F1" s="1" t="n">
        <v>184418</v>
      </c>
      <c r="G1" s="1" t="n">
        <v>286158</v>
      </c>
      <c r="H1" s="1" t="n">
        <v>60522</v>
      </c>
      <c r="I1" s="1" t="n">
        <v>385674</v>
      </c>
      <c r="J1" s="1" t="n">
        <v>390914</v>
      </c>
      <c r="K1" s="1" t="n">
        <v>61853</v>
      </c>
      <c r="L1" s="1" t="n">
        <v>391873</v>
      </c>
      <c r="M1" s="1" t="n">
        <v>184824</v>
      </c>
      <c r="N1" s="1" t="n">
        <v>2453</v>
      </c>
      <c r="O1" s="1" t="n">
        <v>369538</v>
      </c>
      <c r="P1" s="1" t="n">
        <v>367431</v>
      </c>
      <c r="Q1" s="1" t="n">
        <v>211221</v>
      </c>
      <c r="R1" s="1" t="n">
        <v>60267</v>
      </c>
      <c r="S1" s="1" t="n">
        <v>380409</v>
      </c>
      <c r="T1" s="1" t="n">
        <v>59202</v>
      </c>
      <c r="U1" s="1" t="n">
        <v>178724</v>
      </c>
      <c r="V1" s="1" t="n">
        <v>329939</v>
      </c>
      <c r="W1" s="1" t="n">
        <v>385153</v>
      </c>
      <c r="X1" s="1" t="n">
        <v>151276</v>
      </c>
      <c r="Y1" s="1" t="n">
        <v>64564</v>
      </c>
      <c r="Z1" s="1" t="n">
        <v>65085</v>
      </c>
      <c r="AA1" s="1" t="n">
        <v>259255</v>
      </c>
      <c r="AB1" s="1" t="n">
        <v>2675</v>
      </c>
      <c r="AC1" s="1" t="n">
        <v>385506</v>
      </c>
      <c r="AD1" s="1" t="n">
        <v>134565</v>
      </c>
    </row>
    <row r="2">
      <c r="A2" s="2" t="n">
        <v>0.18</v>
      </c>
      <c r="B2" s="2" t="n">
        <v>0.08699999999999999</v>
      </c>
      <c r="C2" s="2" t="n">
        <v>506</v>
      </c>
      <c r="D2" s="2" t="n">
        <v>5.759999944689042</v>
      </c>
      <c r="E2" s="2" t="n">
        <v>500</v>
      </c>
      <c r="F2" s="2" t="n">
        <v>7800</v>
      </c>
      <c r="G2" s="2" t="n">
        <v>213</v>
      </c>
      <c r="H2" s="2" t="n">
        <v>0.059</v>
      </c>
      <c r="I2" s="2" t="n">
        <v>32900</v>
      </c>
      <c r="J2" s="2" t="n">
        <v>580.5555555555555</v>
      </c>
      <c r="K2" s="2" t="n">
        <v>3.127</v>
      </c>
      <c r="L2" s="2" t="n">
        <v>3144</v>
      </c>
      <c r="M2" s="2" t="n">
        <v>12646.20064516129</v>
      </c>
      <c r="N2" s="2" t="n">
        <v>2.318191161356629</v>
      </c>
      <c r="O2" s="2" t="n">
        <v>3.91</v>
      </c>
      <c r="P2" s="2" t="n">
        <v>51.01590106007067</v>
      </c>
      <c r="Q2" s="2" t="n">
        <v>80</v>
      </c>
      <c r="R2" s="2" t="n">
        <v>8.19</v>
      </c>
      <c r="S2" s="2" t="n">
        <v>19550</v>
      </c>
      <c r="T2" s="2" t="n">
        <v>1.15</v>
      </c>
      <c r="U2" s="2" t="n">
        <v>21.83</v>
      </c>
      <c r="V2" s="2" t="n">
        <v>8.099926344218021</v>
      </c>
      <c r="W2" s="2" t="n">
        <v>0.9639999888638636</v>
      </c>
      <c r="X2" s="2" t="n">
        <v>18</v>
      </c>
      <c r="Y2" s="2" t="n">
        <v>24333.33333333333</v>
      </c>
      <c r="Z2" s="2" t="n">
        <v>150000</v>
      </c>
      <c r="AA2" s="2" t="n">
        <v>23.65</v>
      </c>
      <c r="AB2" s="2" t="n">
        <v>2.72</v>
      </c>
      <c r="AC2" s="2" t="n">
        <v>585000</v>
      </c>
      <c r="AD2" s="2" t="n">
        <v>0.0116469131304137</v>
      </c>
    </row>
    <row r="3">
      <c r="A3" s="2" t="n">
        <v>0.198</v>
      </c>
      <c r="B3" s="2" t="n">
        <v>0.091</v>
      </c>
      <c r="C3" s="2" t="n">
        <v>945</v>
      </c>
      <c r="D3" s="2" t="n">
        <v>6.466032177656922</v>
      </c>
      <c r="E3" s="2" t="n">
        <v>500</v>
      </c>
      <c r="F3" s="2" t="n">
        <v>18550</v>
      </c>
      <c r="G3" s="2" t="n">
        <v>415.7916666666667</v>
      </c>
      <c r="H3" s="2" t="n">
        <v>0.0646999995432861</v>
      </c>
      <c r="I3" s="2" t="n">
        <v>36863.755</v>
      </c>
      <c r="J3" s="2" t="n">
        <v>12142.85714285714</v>
      </c>
      <c r="K3" s="2" t="n">
        <v>3.186</v>
      </c>
      <c r="L3" s="2" t="n">
        <v>5029.77</v>
      </c>
      <c r="M3" s="2" t="n">
        <v>245000</v>
      </c>
      <c r="N3" s="2" t="n">
        <v>2.501662829368125</v>
      </c>
      <c r="O3" s="2" t="n">
        <v>3.995717344753747</v>
      </c>
      <c r="P3" s="2" t="n">
        <v>109.5054229934924</v>
      </c>
      <c r="Q3" s="2" t="n">
        <v>148.57</v>
      </c>
      <c r="R3" s="2" t="n">
        <v>25</v>
      </c>
      <c r="S3" s="2" t="n">
        <v>21800</v>
      </c>
      <c r="T3" s="2" t="n">
        <v>1.25</v>
      </c>
      <c r="U3" s="2" t="n">
        <v>22.8</v>
      </c>
      <c r="V3" s="2" t="n">
        <v>13.14999945466642</v>
      </c>
      <c r="W3" s="2" t="n">
        <v>1.065000006795482</v>
      </c>
      <c r="X3" s="2" t="n">
        <v>25</v>
      </c>
      <c r="Y3" s="2" t="n">
        <v>60177.51666666666</v>
      </c>
      <c r="Z3" s="2" t="n">
        <v>157500</v>
      </c>
      <c r="AA3" s="2" t="n">
        <v>24.17</v>
      </c>
      <c r="AB3" s="2" t="n">
        <v>2.72</v>
      </c>
      <c r="AC3" s="2" t="n">
        <v>623000</v>
      </c>
      <c r="AD3" s="2" t="n">
        <v>1.775</v>
      </c>
    </row>
    <row r="4">
      <c r="A4" s="2" t="n">
        <v>0.215</v>
      </c>
      <c r="B4" s="2" t="n">
        <v>0.1</v>
      </c>
      <c r="C4" s="2" t="n">
        <v>1190</v>
      </c>
      <c r="D4" s="2" t="n">
        <v>6.565756457564576</v>
      </c>
      <c r="E4" s="2" t="n">
        <v>793.1034482758621</v>
      </c>
      <c r="F4" s="2" t="n">
        <v>26754.40777777778</v>
      </c>
      <c r="G4" s="2" t="n">
        <v>750</v>
      </c>
      <c r="H4" s="2" t="n">
        <v>0.06900000000000001</v>
      </c>
      <c r="I4" s="2" t="n">
        <v>40204.745</v>
      </c>
      <c r="J4" s="2" t="n">
        <v>56760</v>
      </c>
      <c r="K4" s="2" t="n">
        <v>4.012</v>
      </c>
      <c r="L4" s="2" t="n">
        <v>35100</v>
      </c>
      <c r="M4" s="2" t="n">
        <v>548800</v>
      </c>
      <c r="N4" s="2" t="n">
        <v>3.3</v>
      </c>
      <c r="O4" s="2" t="n">
        <v>4.15</v>
      </c>
      <c r="P4" s="2" t="n">
        <v>110</v>
      </c>
      <c r="Q4" s="2" t="n">
        <v>150</v>
      </c>
      <c r="R4" s="2" t="n">
        <v>28</v>
      </c>
      <c r="S4" s="2" t="n">
        <v>21971.16</v>
      </c>
      <c r="T4" s="2" t="n">
        <v>1.390319553882734</v>
      </c>
      <c r="U4" s="2" t="n">
        <v>22.96</v>
      </c>
      <c r="V4" s="2" t="n">
        <v>13.3</v>
      </c>
      <c r="W4" s="2" t="n">
        <v>1.17</v>
      </c>
      <c r="X4" s="2" t="n">
        <v>29.6</v>
      </c>
      <c r="Y4" s="2" t="n">
        <v>73850</v>
      </c>
      <c r="Z4" s="2" t="n">
        <v>187999</v>
      </c>
      <c r="AA4" s="2" t="n">
        <v>24.25</v>
      </c>
      <c r="AB4" s="2" t="n">
        <v>2.72</v>
      </c>
      <c r="AC4" s="2" t="n">
        <v>675000</v>
      </c>
      <c r="AD4" s="2" t="n">
        <v>1.78185755043815</v>
      </c>
    </row>
    <row r="5">
      <c r="A5" s="2" t="n">
        <v>0.225</v>
      </c>
      <c r="B5" s="2" t="n">
        <v>0.1065</v>
      </c>
      <c r="C5" s="2" t="n">
        <v>1648</v>
      </c>
      <c r="D5" s="2" t="n">
        <v>8.009009009009009</v>
      </c>
      <c r="E5" s="2" t="n">
        <v>77200</v>
      </c>
      <c r="F5" s="2" t="n">
        <v>45240</v>
      </c>
      <c r="G5" s="2" t="n">
        <v>121552.39</v>
      </c>
      <c r="H5" s="2" t="n">
        <v>0.08400000000000001</v>
      </c>
      <c r="I5" s="2" t="n">
        <v>44325.59</v>
      </c>
      <c r="J5" s="2" t="n">
        <v>60480</v>
      </c>
      <c r="K5" s="2" t="n">
        <v>5.613693670092579</v>
      </c>
      <c r="L5" s="2" t="n">
        <v>43463.33333333334</v>
      </c>
      <c r="M5" s="2" t="n">
        <v>549000</v>
      </c>
      <c r="N5" s="2" t="n">
        <v>3.68</v>
      </c>
      <c r="O5" s="2" t="n">
        <v>4.4</v>
      </c>
      <c r="P5" s="2" t="n">
        <v>150.92</v>
      </c>
      <c r="Q5" s="2" t="n">
        <v>150</v>
      </c>
      <c r="R5" s="2" t="n">
        <v>30</v>
      </c>
      <c r="S5" s="2" t="n">
        <v>40585.99</v>
      </c>
      <c r="T5" s="2" t="n">
        <v>1.399182771590346</v>
      </c>
      <c r="U5" s="2" t="n">
        <v>23.95</v>
      </c>
      <c r="V5" s="2" t="n">
        <v>13.4</v>
      </c>
      <c r="W5" s="2" t="n">
        <v>1.239</v>
      </c>
      <c r="X5" s="2" t="n">
        <v>44.9</v>
      </c>
      <c r="Y5" s="2" t="n">
        <v>92600</v>
      </c>
      <c r="Z5" s="2" t="n">
        <v>188690</v>
      </c>
      <c r="AA5" s="2" t="n">
        <v>24.3</v>
      </c>
      <c r="AB5" s="2" t="n">
        <v>2.72</v>
      </c>
      <c r="AC5" s="2" t="n">
        <v>675000</v>
      </c>
      <c r="AD5" s="2" t="n">
        <v>1.788999828149167</v>
      </c>
    </row>
    <row r="6">
      <c r="A6" s="2" t="n">
        <v>0.2267091746369111</v>
      </c>
      <c r="B6" s="2" t="n">
        <v>0.1399999999999999</v>
      </c>
      <c r="C6" s="2" t="n">
        <v>317977.4</v>
      </c>
      <c r="D6" s="2" t="n">
        <v>8.564247990369307</v>
      </c>
      <c r="E6" s="2" t="n">
        <v>107250</v>
      </c>
      <c r="F6" s="2" t="n">
        <v>46000</v>
      </c>
      <c r="G6" s="2" t="n">
        <v>122294.61</v>
      </c>
      <c r="H6" s="2" t="n">
        <v>0.09320000000000001</v>
      </c>
      <c r="I6" s="2" t="n">
        <v>44475</v>
      </c>
      <c r="J6" s="2" t="n">
        <v>70900</v>
      </c>
      <c r="K6" s="2" t="n">
        <v>5.9</v>
      </c>
      <c r="L6" s="2" t="n">
        <v>54500</v>
      </c>
      <c r="M6" s="2" t="n">
        <v>593000</v>
      </c>
      <c r="N6" s="2" t="n">
        <v>3.810000024484392</v>
      </c>
      <c r="O6" s="2" t="n">
        <v>4.5</v>
      </c>
      <c r="P6" s="2" t="n">
        <v>150.92</v>
      </c>
      <c r="Q6" s="2" t="n">
        <v>151</v>
      </c>
      <c r="R6" s="2" t="n">
        <v>30</v>
      </c>
      <c r="S6" s="2" t="n">
        <v>44180</v>
      </c>
      <c r="T6" s="2" t="n">
        <v>1.55</v>
      </c>
      <c r="U6" s="2" t="n">
        <v>24.78</v>
      </c>
      <c r="V6" s="2" t="n">
        <v>13.4</v>
      </c>
      <c r="W6" s="2" t="n">
        <v>1.2508</v>
      </c>
      <c r="X6" s="2" t="n">
        <v>45</v>
      </c>
      <c r="Y6" s="2" t="n">
        <v>164000</v>
      </c>
      <c r="Z6" s="2" t="n">
        <v>198400</v>
      </c>
      <c r="AA6" s="2" t="n">
        <v>24.36305732484076</v>
      </c>
      <c r="AB6" s="2" t="n">
        <v>2.93</v>
      </c>
      <c r="AC6" s="2" t="n">
        <v>692000</v>
      </c>
      <c r="AD6" s="2" t="n">
        <v>1.795720121494511</v>
      </c>
    </row>
    <row r="7">
      <c r="A7" s="2" t="n"/>
      <c r="B7" s="2" t="n"/>
      <c r="C7" s="2" t="n"/>
      <c r="D7" s="2" t="n"/>
      <c r="E7" s="2" t="n">
        <v>114760</v>
      </c>
      <c r="F7" s="2" t="n">
        <v>53300</v>
      </c>
      <c r="G7" s="2" t="n">
        <v>205462.93</v>
      </c>
      <c r="H7" s="2" t="n">
        <v>0.12</v>
      </c>
      <c r="I7" s="2" t="n">
        <v>49994</v>
      </c>
      <c r="J7" s="2" t="n">
        <v>76000</v>
      </c>
      <c r="K7" s="2" t="n">
        <v>8.449999999999999</v>
      </c>
      <c r="L7" s="2" t="n">
        <v>65995</v>
      </c>
      <c r="M7" s="2" t="n">
        <v>594318.5</v>
      </c>
      <c r="N7" s="2" t="n">
        <v>4.065119999999999</v>
      </c>
      <c r="O7" s="2" t="n">
        <v>4.8</v>
      </c>
      <c r="P7" s="2" t="n">
        <v>151.03</v>
      </c>
      <c r="Q7" s="2" t="n">
        <v>152</v>
      </c>
      <c r="R7" s="2" t="n">
        <v>30</v>
      </c>
      <c r="S7" s="2" t="n">
        <v>47120</v>
      </c>
      <c r="T7" s="2" t="n">
        <v>1.644444444444444</v>
      </c>
      <c r="U7" s="2" t="n">
        <v>25.96</v>
      </c>
      <c r="V7" s="2" t="n">
        <v>13.46</v>
      </c>
      <c r="W7" s="2" t="n">
        <v>1.64</v>
      </c>
      <c r="X7" s="2" t="n">
        <v>46.25</v>
      </c>
      <c r="Y7" s="2" t="n">
        <v>251764.8</v>
      </c>
      <c r="Z7" s="2" t="n">
        <v>230000</v>
      </c>
      <c r="AA7" s="2" t="n">
        <v>24.45</v>
      </c>
      <c r="AB7" s="2" t="n">
        <v>2.93</v>
      </c>
      <c r="AC7" s="2" t="n">
        <v>750000</v>
      </c>
      <c r="AD7" s="2" t="n">
        <v>1.799001852848007</v>
      </c>
    </row>
    <row r="8">
      <c r="A8" s="2" t="n"/>
      <c r="B8" s="2" t="n"/>
      <c r="C8" s="2" t="n"/>
      <c r="D8" s="2" t="n"/>
      <c r="E8" s="2" t="n"/>
      <c r="F8" s="2" t="n">
        <v>111000</v>
      </c>
      <c r="G8" s="2" t="n">
        <v>241312.36</v>
      </c>
      <c r="H8" s="2" t="n">
        <v>0.14</v>
      </c>
      <c r="I8" s="2" t="n">
        <v>50000</v>
      </c>
      <c r="J8" s="2" t="n">
        <v>127170</v>
      </c>
      <c r="K8" s="2" t="n">
        <v>9.44</v>
      </c>
      <c r="L8" s="2" t="n">
        <v>70000</v>
      </c>
      <c r="M8" s="2" t="n">
        <v>616000</v>
      </c>
      <c r="N8" s="2" t="n">
        <v>4.3</v>
      </c>
      <c r="O8" s="2" t="n">
        <v>4.98</v>
      </c>
      <c r="P8" s="2" t="n">
        <v>151.03</v>
      </c>
      <c r="Q8" s="2" t="n">
        <v>155</v>
      </c>
      <c r="R8" s="2" t="n">
        <v>33</v>
      </c>
      <c r="S8" s="2" t="n">
        <v>48650</v>
      </c>
      <c r="T8" s="2" t="n">
        <v>1.65</v>
      </c>
      <c r="U8" s="2" t="n">
        <v>26.5</v>
      </c>
      <c r="V8" s="2" t="n">
        <v>13.8</v>
      </c>
      <c r="W8" s="2" t="n">
        <v>1.67</v>
      </c>
      <c r="X8" s="2" t="n">
        <v>49</v>
      </c>
      <c r="Y8" s="2" t="n">
        <v>393750</v>
      </c>
      <c r="Z8" s="2" t="n">
        <v>232470</v>
      </c>
      <c r="AA8" s="2" t="n">
        <v>24.46218905472637</v>
      </c>
      <c r="AB8" s="2" t="n">
        <v>2.99</v>
      </c>
      <c r="AC8" s="2" t="n">
        <v>799413.42</v>
      </c>
      <c r="AD8" s="2" t="n">
        <v>1.872068126520681</v>
      </c>
    </row>
    <row r="9">
      <c r="A9" s="2" t="n"/>
      <c r="B9" s="2" t="n"/>
      <c r="C9" s="2" t="n"/>
      <c r="D9" s="2" t="n"/>
      <c r="E9" s="2" t="n"/>
      <c r="F9" s="2" t="n"/>
      <c r="G9" s="2" t="n">
        <v>655550.99</v>
      </c>
      <c r="H9" s="2" t="n">
        <v>0.1983333333333333</v>
      </c>
      <c r="I9" s="2" t="n">
        <v>71000</v>
      </c>
      <c r="J9" s="2" t="n">
        <v>160900</v>
      </c>
      <c r="K9" s="2" t="n">
        <v>10</v>
      </c>
      <c r="L9" s="2" t="n">
        <v>76500</v>
      </c>
      <c r="M9" s="2" t="n">
        <v>649000</v>
      </c>
      <c r="N9" s="2" t="n">
        <v>4.9</v>
      </c>
      <c r="O9" s="2" t="n">
        <v>5</v>
      </c>
      <c r="P9" s="2" t="n">
        <v>225.9458018867925</v>
      </c>
      <c r="Q9" s="2" t="n">
        <v>160</v>
      </c>
      <c r="R9" s="2" t="n">
        <v>35</v>
      </c>
      <c r="S9" s="2" t="n">
        <v>54000</v>
      </c>
      <c r="T9" s="2" t="n">
        <v>1.666666666666667</v>
      </c>
      <c r="U9" s="2" t="n">
        <v>27.14</v>
      </c>
      <c r="V9" s="2" t="n">
        <v>13.8</v>
      </c>
      <c r="W9" s="2" t="n">
        <v>3.15</v>
      </c>
      <c r="X9" s="2" t="n">
        <v>49</v>
      </c>
      <c r="Y9" s="2" t="n">
        <v>422049.3</v>
      </c>
      <c r="Z9" s="2" t="n">
        <v>240100</v>
      </c>
      <c r="AA9" s="2" t="n">
        <v>24.5</v>
      </c>
      <c r="AB9" s="2" t="n">
        <v>3</v>
      </c>
      <c r="AC9" s="2" t="n">
        <v>810000</v>
      </c>
      <c r="AD9" s="2" t="n">
        <v>1.88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>
        <v>4360652.11</v>
      </c>
      <c r="J10" s="2" t="n">
        <v>418915</v>
      </c>
      <c r="K10" s="2" t="n">
        <v>10.469</v>
      </c>
      <c r="L10" s="2" t="n">
        <v>83000</v>
      </c>
      <c r="M10" s="2" t="n">
        <v>683000</v>
      </c>
      <c r="N10" s="2" t="n">
        <v>6</v>
      </c>
      <c r="O10" s="2" t="n">
        <v>5.14</v>
      </c>
      <c r="P10" s="2" t="n">
        <v>388.6170212765957</v>
      </c>
      <c r="Q10" s="2" t="n">
        <v>162</v>
      </c>
      <c r="R10" s="2" t="n">
        <v>35</v>
      </c>
      <c r="S10" s="2" t="n">
        <v>62250</v>
      </c>
      <c r="T10" s="2" t="n">
        <v>1.8</v>
      </c>
      <c r="U10" s="2" t="n">
        <v>27.376</v>
      </c>
      <c r="V10" s="2" t="n">
        <v>13.88535031847134</v>
      </c>
      <c r="W10" s="2" t="n">
        <v>9.199999999999999</v>
      </c>
      <c r="X10" s="2" t="n">
        <v>50</v>
      </c>
      <c r="Y10" s="2" t="n">
        <v>424800</v>
      </c>
      <c r="Z10" s="2" t="n">
        <v>246459</v>
      </c>
      <c r="AA10" s="2" t="n">
        <v>24.89</v>
      </c>
      <c r="AB10" s="2" t="n">
        <v>3</v>
      </c>
      <c r="AC10" s="2" t="n">
        <v>826068</v>
      </c>
      <c r="AD10" s="2" t="n">
        <v>1.89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>
        <v>10.47</v>
      </c>
      <c r="L11" s="2" t="n">
        <v>88068.10000000001</v>
      </c>
      <c r="M11" s="2" t="n">
        <v>881000</v>
      </c>
      <c r="N11" s="2" t="n">
        <v>16.02444444444444</v>
      </c>
      <c r="O11" s="2" t="n">
        <v>5.2</v>
      </c>
      <c r="P11" s="2" t="n">
        <v>1109.454545454545</v>
      </c>
      <c r="Q11" s="2" t="n">
        <v>163.5</v>
      </c>
      <c r="R11" s="2" t="n">
        <v>35</v>
      </c>
      <c r="S11" s="2" t="n">
        <v>67450</v>
      </c>
      <c r="T11" s="2" t="n">
        <v>1.8</v>
      </c>
      <c r="U11" s="2" t="n">
        <v>27.6</v>
      </c>
      <c r="V11" s="2" t="n">
        <v>13.89432485322896</v>
      </c>
      <c r="W11" s="2" t="n">
        <v>12.54</v>
      </c>
      <c r="X11" s="2" t="n">
        <v>50</v>
      </c>
      <c r="Y11" s="2" t="n">
        <v>449219.63</v>
      </c>
      <c r="Z11" s="2" t="n">
        <v>255000</v>
      </c>
      <c r="AA11" s="2" t="n">
        <v>24.97</v>
      </c>
      <c r="AB11" s="2" t="n">
        <v>3</v>
      </c>
      <c r="AC11" s="2" t="n">
        <v>834000</v>
      </c>
      <c r="AD11" s="2" t="n">
        <v>1.890000023133713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>
        <v>140000</v>
      </c>
      <c r="M12" s="2" t="n">
        <v>900000</v>
      </c>
      <c r="N12" s="2" t="n">
        <v>48.618</v>
      </c>
      <c r="O12" s="2" t="n">
        <v>5.4</v>
      </c>
      <c r="P12" s="2" t="n">
        <v>61755</v>
      </c>
      <c r="Q12" s="2" t="n">
        <v>165</v>
      </c>
      <c r="R12" s="2" t="n">
        <v>38</v>
      </c>
      <c r="S12" s="2" t="n">
        <v>77734.22</v>
      </c>
      <c r="T12" s="2" t="n">
        <v>1.923076923076923</v>
      </c>
      <c r="U12" s="2" t="n">
        <v>29.22</v>
      </c>
      <c r="V12" s="2" t="n">
        <v>14.2</v>
      </c>
      <c r="W12" s="2" t="n">
        <v>13.19240104849279</v>
      </c>
      <c r="X12" s="2" t="n">
        <v>52.2</v>
      </c>
      <c r="Y12" s="2" t="n">
        <v>450000</v>
      </c>
      <c r="Z12" s="2" t="n">
        <v>264320</v>
      </c>
      <c r="AA12" s="2" t="n">
        <v>25</v>
      </c>
      <c r="AB12" s="2" t="n">
        <v>3</v>
      </c>
      <c r="AC12" s="2" t="n">
        <v>842482.48</v>
      </c>
      <c r="AD12" s="2" t="n">
        <v>1.9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>
        <v>91392</v>
      </c>
      <c r="Q13" s="2" t="n">
        <v>174.9333333333333</v>
      </c>
      <c r="R13" s="2" t="n">
        <v>38</v>
      </c>
      <c r="S13" s="2" t="n">
        <v>85000</v>
      </c>
      <c r="T13" s="2" t="n">
        <v>2.34</v>
      </c>
      <c r="U13" s="2" t="n">
        <v>29.5</v>
      </c>
      <c r="V13" s="2" t="n">
        <v>14.2</v>
      </c>
      <c r="W13" s="2" t="n">
        <v>14.37</v>
      </c>
      <c r="X13" s="2" t="n">
        <v>58.5</v>
      </c>
      <c r="Y13" s="2" t="n">
        <v>458120.72</v>
      </c>
      <c r="Z13" s="2" t="n">
        <v>264880.5</v>
      </c>
      <c r="AA13" s="2" t="n">
        <v>25.24497574497574</v>
      </c>
      <c r="AB13" s="2" t="n">
        <v>3</v>
      </c>
      <c r="AC13" s="2" t="n">
        <v>846533</v>
      </c>
      <c r="AD13" s="2" t="n">
        <v>1.93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>
        <v>106904.11</v>
      </c>
      <c r="T14" s="2" t="n">
        <v>2.35</v>
      </c>
      <c r="U14" s="2" t="n">
        <v>31.624</v>
      </c>
      <c r="V14" s="2" t="n">
        <v>14.43540625</v>
      </c>
      <c r="W14" s="2" t="n">
        <v>14.4</v>
      </c>
      <c r="X14" s="2" t="n">
        <v>59.34455270150576</v>
      </c>
      <c r="Y14" s="2" t="n">
        <v>460000</v>
      </c>
      <c r="Z14" s="2" t="n">
        <v>269900</v>
      </c>
      <c r="AA14" s="2" t="n">
        <v>25.26</v>
      </c>
      <c r="AB14" s="2" t="n">
        <v>3.095954853273137</v>
      </c>
      <c r="AC14" s="2" t="n">
        <v>860000</v>
      </c>
      <c r="AD14" s="2" t="n">
        <v>1.94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>
        <v>136600</v>
      </c>
      <c r="T15" s="2" t="n">
        <v>2.39</v>
      </c>
      <c r="U15" s="2" t="n">
        <v>32.167</v>
      </c>
      <c r="V15" s="2" t="n">
        <v>14.459</v>
      </c>
      <c r="W15" s="2" t="n">
        <v>14.69</v>
      </c>
      <c r="X15" s="2" t="n">
        <v>60</v>
      </c>
      <c r="Y15" s="2" t="n">
        <v>460613</v>
      </c>
      <c r="Z15" s="2" t="n">
        <v>272800</v>
      </c>
      <c r="AA15" s="2" t="n">
        <v>25.26666666666667</v>
      </c>
      <c r="AB15" s="2" t="n">
        <v>3.1</v>
      </c>
      <c r="AC15" s="2" t="n">
        <v>860000</v>
      </c>
      <c r="AD15" s="2" t="n">
        <v>1.94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>
        <v>150000</v>
      </c>
      <c r="T16" s="2" t="n">
        <v>2.4</v>
      </c>
      <c r="U16" s="2" t="n">
        <v>33.8</v>
      </c>
      <c r="V16" s="2" t="n">
        <v>14.5</v>
      </c>
      <c r="W16" s="2" t="n">
        <v>15.5</v>
      </c>
      <c r="X16" s="2" t="n">
        <v>65</v>
      </c>
      <c r="Y16" s="2" t="n">
        <v>465000</v>
      </c>
      <c r="Z16" s="2" t="n">
        <v>272863.2</v>
      </c>
      <c r="AA16" s="2" t="n">
        <v>25.39</v>
      </c>
      <c r="AB16" s="2" t="n">
        <v>3.1</v>
      </c>
      <c r="AC16" s="2" t="n">
        <v>869000</v>
      </c>
      <c r="AD16" s="2" t="n">
        <v>1.95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>
        <v>377800.04</v>
      </c>
      <c r="T17" s="2" t="n">
        <v>2.4</v>
      </c>
      <c r="U17" s="2" t="n">
        <v>34.5</v>
      </c>
      <c r="V17" s="2" t="n">
        <v>15.24100012143127</v>
      </c>
      <c r="W17" s="2" t="n">
        <v>15.9</v>
      </c>
      <c r="X17" s="2" t="n">
        <v>68.93542757417103</v>
      </c>
      <c r="Y17" s="2" t="n">
        <v>468790</v>
      </c>
      <c r="Z17" s="2" t="n">
        <v>273588.9</v>
      </c>
      <c r="AA17" s="2" t="n">
        <v>25.4</v>
      </c>
      <c r="AB17" s="2" t="n">
        <v>3.1</v>
      </c>
      <c r="AC17" s="2" t="n">
        <v>880000</v>
      </c>
      <c r="AD17" s="2" t="n">
        <v>1.95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2.5</v>
      </c>
      <c r="U18" s="2" t="n">
        <v>35.4</v>
      </c>
      <c r="V18" s="2" t="n">
        <v>15.25</v>
      </c>
      <c r="W18" s="2" t="n">
        <v>17.55344332855093</v>
      </c>
      <c r="X18" s="2" t="n">
        <v>70</v>
      </c>
      <c r="Y18" s="2" t="n">
        <v>470000</v>
      </c>
      <c r="Z18" s="2" t="n">
        <v>279500</v>
      </c>
      <c r="AA18" s="2" t="n">
        <v>25.46</v>
      </c>
      <c r="AB18" s="2" t="n">
        <v>3.14</v>
      </c>
      <c r="AC18" s="2" t="n">
        <v>880000</v>
      </c>
      <c r="AD18" s="2" t="n">
        <v>1.95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>
        <v>36.29219512195122</v>
      </c>
      <c r="V19" s="2" t="n">
        <v>15.8</v>
      </c>
      <c r="W19" s="2" t="n">
        <v>18.92</v>
      </c>
      <c r="X19" s="2" t="n">
        <v>71.83906430108189</v>
      </c>
      <c r="Y19" s="2" t="n">
        <v>470000</v>
      </c>
      <c r="Z19" s="2" t="n">
        <v>284900</v>
      </c>
      <c r="AA19" s="2" t="n">
        <v>25.71428</v>
      </c>
      <c r="AB19" s="2" t="n">
        <v>3.199001208215868</v>
      </c>
      <c r="AC19" s="2" t="n">
        <v>880280</v>
      </c>
      <c r="AD19" s="2" t="n">
        <v>1.95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>
        <v>37</v>
      </c>
      <c r="V20" s="2" t="n">
        <v>16.42</v>
      </c>
      <c r="W20" s="2" t="n">
        <v>20</v>
      </c>
      <c r="X20" s="2" t="n">
        <v>80.8</v>
      </c>
      <c r="Y20" s="2" t="n">
        <v>470000</v>
      </c>
      <c r="Z20" s="2" t="n">
        <v>285000</v>
      </c>
      <c r="AA20" s="2" t="n">
        <v>25.8</v>
      </c>
      <c r="AB20" s="2" t="n">
        <v>3.25</v>
      </c>
      <c r="AC20" s="2" t="n">
        <v>885000</v>
      </c>
      <c r="AD20" s="2" t="n">
        <v>1.95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>
        <v>39</v>
      </c>
      <c r="V21" s="2" t="n">
        <v>16.75</v>
      </c>
      <c r="W21" s="2" t="n">
        <v>21.5</v>
      </c>
      <c r="X21" s="2" t="n">
        <v>81.03276539973788</v>
      </c>
      <c r="Y21" s="2" t="n">
        <v>470040.73</v>
      </c>
      <c r="Z21" s="2" t="n">
        <v>290309</v>
      </c>
      <c r="AA21" s="2" t="n">
        <v>25.81</v>
      </c>
      <c r="AB21" s="2" t="n">
        <v>3.34</v>
      </c>
      <c r="AC21" s="2" t="n">
        <v>896900</v>
      </c>
      <c r="AD21" s="2" t="n">
        <v>1.95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>
        <v>43.66</v>
      </c>
      <c r="V22" s="2" t="n">
        <v>16.83476536682089</v>
      </c>
      <c r="W22" s="2" t="n">
        <v>22.31986666666666</v>
      </c>
      <c r="X22" s="2" t="n">
        <v>82.59999999999999</v>
      </c>
      <c r="Y22" s="2" t="n">
        <v>475000</v>
      </c>
      <c r="Z22" s="2" t="n">
        <v>293309</v>
      </c>
      <c r="AA22" s="2" t="n">
        <v>25.84955752212389</v>
      </c>
      <c r="AB22" s="2" t="n">
        <v>3.400632561354996</v>
      </c>
      <c r="AC22" s="2" t="n">
        <v>900000</v>
      </c>
      <c r="AD22" s="2" t="n">
        <v>1.96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>
        <v>46</v>
      </c>
      <c r="V23" s="2" t="n">
        <v>17.8</v>
      </c>
      <c r="W23" s="2" t="n">
        <v>23.98</v>
      </c>
      <c r="X23" s="2" t="n">
        <v>84.832822399346</v>
      </c>
      <c r="Y23" s="2" t="n">
        <v>475000</v>
      </c>
      <c r="Z23" s="2" t="n">
        <v>295000</v>
      </c>
      <c r="AA23" s="2" t="n">
        <v>25.97</v>
      </c>
      <c r="AB23" s="2" t="n">
        <v>3.400632561354996</v>
      </c>
      <c r="AC23" s="2" t="n">
        <v>905000</v>
      </c>
      <c r="AD23" s="2" t="n">
        <v>1.97</v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>
        <v>783</v>
      </c>
      <c r="V24" s="2" t="n">
        <v>18</v>
      </c>
      <c r="W24" s="2" t="n">
        <v>24</v>
      </c>
      <c r="X24" s="2" t="n">
        <v>88</v>
      </c>
      <c r="Y24" s="2" t="n">
        <v>480000</v>
      </c>
      <c r="Z24" s="2" t="n">
        <v>295000</v>
      </c>
      <c r="AA24" s="2" t="n">
        <v>26</v>
      </c>
      <c r="AB24" s="2" t="n">
        <v>3.401811894882435</v>
      </c>
      <c r="AC24" s="2" t="n">
        <v>910000</v>
      </c>
      <c r="AD24" s="2" t="n">
        <v>1.97</v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>
        <v>72000</v>
      </c>
      <c r="V25" s="2" t="n">
        <v>18.3</v>
      </c>
      <c r="W25" s="2" t="n">
        <v>24.6</v>
      </c>
      <c r="X25" s="2" t="n">
        <v>89</v>
      </c>
      <c r="Y25" s="2" t="n">
        <v>480000</v>
      </c>
      <c r="Z25" s="2" t="n">
        <v>295425</v>
      </c>
      <c r="AA25" s="2" t="n">
        <v>26.12359550561798</v>
      </c>
      <c r="AB25" s="2" t="n">
        <v>3.401811894882435</v>
      </c>
      <c r="AC25" s="2" t="n">
        <v>910000</v>
      </c>
      <c r="AD25" s="2" t="n">
        <v>1.98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>
        <v>107175</v>
      </c>
      <c r="V26" s="2" t="n">
        <v>18.56182945391098</v>
      </c>
      <c r="W26" s="2" t="n">
        <v>28</v>
      </c>
      <c r="X26" s="2" t="n">
        <v>90</v>
      </c>
      <c r="Y26" s="2" t="n">
        <v>480000</v>
      </c>
      <c r="Z26" s="2" t="n">
        <v>296876.2</v>
      </c>
      <c r="AA26" s="2" t="n">
        <v>26.13</v>
      </c>
      <c r="AB26" s="2" t="n">
        <v>3.401811894882435</v>
      </c>
      <c r="AC26" s="2" t="n">
        <v>920000</v>
      </c>
      <c r="AD26" s="2" t="n">
        <v>1.98</v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>
        <v>136800</v>
      </c>
      <c r="V27" s="2" t="n">
        <v>18.83116883116883</v>
      </c>
      <c r="W27" s="2" t="n">
        <v>29.1</v>
      </c>
      <c r="X27" s="2" t="n">
        <v>92</v>
      </c>
      <c r="Y27" s="2" t="n">
        <v>480000</v>
      </c>
      <c r="Z27" s="2" t="n">
        <v>298900</v>
      </c>
      <c r="AA27" s="2" t="n">
        <v>26.19395711500974</v>
      </c>
      <c r="AB27" s="2" t="n">
        <v>3.401811894882435</v>
      </c>
      <c r="AC27" s="2" t="n">
        <v>925000</v>
      </c>
      <c r="AD27" s="2" t="n">
        <v>1.98</v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>
        <v>228480</v>
      </c>
      <c r="V28" s="2" t="n">
        <v>19.13779210314262</v>
      </c>
      <c r="W28" s="2" t="n">
        <v>32.5</v>
      </c>
      <c r="X28" s="2" t="n">
        <v>93</v>
      </c>
      <c r="Y28" s="2" t="n">
        <v>481812.41</v>
      </c>
      <c r="Z28" s="2" t="n">
        <v>299000</v>
      </c>
      <c r="AA28" s="2" t="n">
        <v>26.5875</v>
      </c>
      <c r="AB28" s="2" t="n">
        <v>3.401811894882435</v>
      </c>
      <c r="AC28" s="2" t="n">
        <v>930000</v>
      </c>
      <c r="AD28" s="2" t="n">
        <v>1.985</v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>
        <v>409932</v>
      </c>
      <c r="V29" s="2" t="n">
        <v>19.16</v>
      </c>
      <c r="W29" s="2" t="n">
        <v>36</v>
      </c>
      <c r="X29" s="2" t="n">
        <v>95</v>
      </c>
      <c r="Y29" s="2" t="n">
        <v>485000</v>
      </c>
      <c r="Z29" s="2" t="n">
        <v>299500</v>
      </c>
      <c r="AA29" s="2" t="n">
        <v>26.65</v>
      </c>
      <c r="AB29" s="2" t="n">
        <v>3.401811894882435</v>
      </c>
      <c r="AC29" s="2" t="n">
        <v>930000</v>
      </c>
      <c r="AD29" s="2" t="n">
        <v>1.985</v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>
        <v>411130</v>
      </c>
      <c r="V30" s="2" t="n">
        <v>19.16517784635374</v>
      </c>
      <c r="W30" s="2" t="n">
        <v>41.6</v>
      </c>
      <c r="X30" s="2" t="n">
        <v>97.40000000000001</v>
      </c>
      <c r="Y30" s="2" t="n">
        <v>485000</v>
      </c>
      <c r="Z30" s="2" t="n">
        <v>299900</v>
      </c>
      <c r="AA30" s="2" t="n">
        <v>27</v>
      </c>
      <c r="AB30" s="2" t="n">
        <v>3.401811894882435</v>
      </c>
      <c r="AC30" s="2" t="n">
        <v>932223.6</v>
      </c>
      <c r="AD30" s="2" t="n">
        <v>1.989999830722538</v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>
        <v>741600</v>
      </c>
      <c r="V31" s="2" t="n">
        <v>20</v>
      </c>
      <c r="W31" s="2" t="n">
        <v>74.25288778877888</v>
      </c>
      <c r="X31" s="2" t="n">
        <v>107.9940037323707</v>
      </c>
      <c r="Y31" s="2" t="n">
        <v>485000</v>
      </c>
      <c r="Z31" s="2" t="n">
        <v>299900</v>
      </c>
      <c r="AA31" s="2" t="n">
        <v>27</v>
      </c>
      <c r="AB31" s="2" t="n">
        <v>3.401811894882435</v>
      </c>
      <c r="AC31" s="2" t="n">
        <v>932282.6</v>
      </c>
      <c r="AD31" s="2" t="n">
        <v>1.98999995412361</v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>
        <v>22.67</v>
      </c>
      <c r="W32" s="2" t="n">
        <v>139.7260273972603</v>
      </c>
      <c r="X32" s="2" t="n">
        <v>109.7560975609756</v>
      </c>
      <c r="Y32" s="2" t="n">
        <v>486101</v>
      </c>
      <c r="Z32" s="2" t="n">
        <v>300000</v>
      </c>
      <c r="AA32" s="2" t="n">
        <v>27</v>
      </c>
      <c r="AB32" s="2" t="n">
        <v>3.401811894882435</v>
      </c>
      <c r="AC32" s="2" t="n">
        <v>935000</v>
      </c>
      <c r="AD32" s="2" t="n">
        <v>1.99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22.85714285714286</v>
      </c>
      <c r="W33" s="2" t="n">
        <v>9125</v>
      </c>
      <c r="X33" s="2" t="n">
        <v>110</v>
      </c>
      <c r="Y33" s="2" t="n">
        <v>490000</v>
      </c>
      <c r="Z33" s="2" t="n">
        <v>309396</v>
      </c>
      <c r="AA33" s="2" t="n">
        <v>27.3</v>
      </c>
      <c r="AB33" s="2" t="n">
        <v>3.401811894882435</v>
      </c>
      <c r="AC33" s="2" t="n">
        <v>935000</v>
      </c>
      <c r="AD33" s="2" t="n">
        <v>1.99</v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>
        <v>99944</v>
      </c>
      <c r="X34" s="2" t="n">
        <v>111.5824710894705</v>
      </c>
      <c r="Y34" s="2" t="n">
        <v>490000</v>
      </c>
      <c r="Z34" s="2" t="n">
        <v>310000</v>
      </c>
      <c r="AA34" s="2" t="n">
        <v>28.2</v>
      </c>
      <c r="AB34" s="2" t="n">
        <v>3.401811894882435</v>
      </c>
      <c r="AC34" s="2" t="n">
        <v>947900</v>
      </c>
      <c r="AD34" s="2" t="n">
        <v>1.99</v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>
        <v>111.6</v>
      </c>
      <c r="Y35" s="2" t="n">
        <v>498375.36</v>
      </c>
      <c r="Z35" s="2" t="n">
        <v>313433</v>
      </c>
      <c r="AA35" s="2" t="n">
        <v>28.27466820542412</v>
      </c>
      <c r="AB35" s="2" t="n">
        <v>3.401811894882435</v>
      </c>
      <c r="AC35" s="2" t="n">
        <v>954618</v>
      </c>
      <c r="AD35" s="2" t="n">
        <v>1.99</v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>
        <v>111.7647058823529</v>
      </c>
      <c r="Y36" s="2" t="n">
        <v>498984.95</v>
      </c>
      <c r="Z36" s="2" t="n">
        <v>314538</v>
      </c>
      <c r="AA36" s="2" t="n">
        <v>28.39976905311778</v>
      </c>
      <c r="AB36" s="2" t="n">
        <v>3.401811894882435</v>
      </c>
      <c r="AC36" s="2" t="n">
        <v>970000</v>
      </c>
      <c r="AD36" s="2" t="n">
        <v>1.99</v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>
        <v>114.361216730038</v>
      </c>
      <c r="Y37" s="2" t="n">
        <v>508593.3925</v>
      </c>
      <c r="Z37" s="2" t="n">
        <v>315000</v>
      </c>
      <c r="AA37" s="2" t="n">
        <v>28.48809523809524</v>
      </c>
      <c r="AB37" s="2" t="n">
        <v>3.401811894882435</v>
      </c>
      <c r="AC37" s="2" t="n">
        <v>990964</v>
      </c>
      <c r="AD37" s="2" t="n">
        <v>1.99</v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>
        <v>116.3934426229508</v>
      </c>
      <c r="Y38" s="2" t="n">
        <v>510137.01</v>
      </c>
      <c r="Z38" s="2" t="n">
        <v>317450</v>
      </c>
      <c r="AA38" s="2" t="n">
        <v>28.9</v>
      </c>
      <c r="AB38" s="2" t="n">
        <v>3.401811894882435</v>
      </c>
      <c r="AC38" s="2" t="n">
        <v>1004416</v>
      </c>
      <c r="AD38" s="2" t="n">
        <v>1.995</v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>
        <v>118.0690749152787</v>
      </c>
      <c r="Y39" s="2" t="n">
        <v>520000</v>
      </c>
      <c r="Z39" s="2" t="n">
        <v>320877.4</v>
      </c>
      <c r="AA39" s="2" t="n">
        <v>29</v>
      </c>
      <c r="AB39" s="2" t="n">
        <v>3.401811894882435</v>
      </c>
      <c r="AC39" s="2" t="n">
        <v>1025892</v>
      </c>
      <c r="AD39" s="2" t="n">
        <v>2</v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>
        <v>120</v>
      </c>
      <c r="Y40" s="2" t="n">
        <v>520000</v>
      </c>
      <c r="Z40" s="2" t="n">
        <v>320877.4</v>
      </c>
      <c r="AA40" s="2" t="n">
        <v>29</v>
      </c>
      <c r="AB40" s="2" t="n">
        <v>3.401811894882435</v>
      </c>
      <c r="AC40" s="2" t="n">
        <v>1026600</v>
      </c>
      <c r="AD40" s="2" t="n">
        <v>2</v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>
        <v>124.4791666666667</v>
      </c>
      <c r="Y41" s="2" t="n">
        <v>520000</v>
      </c>
      <c r="Z41" s="2" t="n">
        <v>320877.4</v>
      </c>
      <c r="AA41" s="2" t="n">
        <v>29.7</v>
      </c>
      <c r="AB41" s="2" t="n">
        <v>3.401811894882435</v>
      </c>
      <c r="AC41" s="2" t="n">
        <v>1027485</v>
      </c>
      <c r="AD41" s="2" t="n">
        <v>2</v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>
        <v>126.962962962963</v>
      </c>
      <c r="Y42" s="2" t="n">
        <v>525000</v>
      </c>
      <c r="Z42" s="2" t="n">
        <v>320877.4</v>
      </c>
      <c r="AA42" s="2" t="n">
        <v>29.74060822898032</v>
      </c>
      <c r="AB42" s="2" t="n">
        <v>3.402004234297813</v>
      </c>
      <c r="AC42" s="2" t="n">
        <v>1032000</v>
      </c>
      <c r="AD42" s="2" t="n">
        <v>2.03</v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>
        <v>129.7047970479705</v>
      </c>
      <c r="Y43" s="2" t="n">
        <v>530000</v>
      </c>
      <c r="Z43" s="2" t="n">
        <v>323900</v>
      </c>
      <c r="AA43" s="2" t="n">
        <v>29.9</v>
      </c>
      <c r="AB43" s="2" t="n">
        <v>3.5</v>
      </c>
      <c r="AC43" s="2" t="n">
        <v>1049000</v>
      </c>
      <c r="AD43" s="2" t="n">
        <v>2.05</v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>
        <v>130</v>
      </c>
      <c r="Y44" s="2" t="n">
        <v>535000</v>
      </c>
      <c r="Z44" s="2" t="n">
        <v>324150</v>
      </c>
      <c r="AA44" s="2" t="n">
        <v>30</v>
      </c>
      <c r="AB44" s="2" t="n">
        <v>3.5</v>
      </c>
      <c r="AC44" s="2" t="n">
        <v>1050000</v>
      </c>
      <c r="AD44" s="2" t="n">
        <v>2.05</v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>
        <v>139</v>
      </c>
      <c r="Y45" s="2" t="n">
        <v>539212.8</v>
      </c>
      <c r="Z45" s="2" t="n">
        <v>325000</v>
      </c>
      <c r="AA45" s="2" t="n">
        <v>30</v>
      </c>
      <c r="AB45" s="2" t="n">
        <v>3.76</v>
      </c>
      <c r="AC45" s="2" t="n">
        <v>1050000</v>
      </c>
      <c r="AD45" s="2" t="n">
        <v>2.07</v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>
        <v>139.5</v>
      </c>
      <c r="Y46" s="2" t="n">
        <v>540000</v>
      </c>
      <c r="Z46" s="2" t="n">
        <v>328000</v>
      </c>
      <c r="AA46" s="2" t="n">
        <v>30</v>
      </c>
      <c r="AB46" s="2" t="n">
        <v>3.76</v>
      </c>
      <c r="AC46" s="2" t="n">
        <v>1055761.81</v>
      </c>
      <c r="AD46" s="2" t="n">
        <v>2.07</v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>
        <v>146.7</v>
      </c>
      <c r="Y47" s="2" t="n">
        <v>540000</v>
      </c>
      <c r="Z47" s="2" t="n">
        <v>330000</v>
      </c>
      <c r="AA47" s="2" t="n">
        <v>30</v>
      </c>
      <c r="AB47" s="2" t="n">
        <v>3.76</v>
      </c>
      <c r="AC47" s="2" t="n">
        <v>1063829</v>
      </c>
      <c r="AD47" s="2" t="n">
        <v>2.07</v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>
        <v>149.6703806870938</v>
      </c>
      <c r="Y48" s="2" t="n">
        <v>544681.16</v>
      </c>
      <c r="Z48" s="2" t="n">
        <v>332900</v>
      </c>
      <c r="AA48" s="2" t="n">
        <v>30</v>
      </c>
      <c r="AB48" s="2" t="n">
        <v>3.76</v>
      </c>
      <c r="AC48" s="2" t="n">
        <v>1065000</v>
      </c>
      <c r="AD48" s="2" t="n">
        <v>2.08</v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>
        <v>150</v>
      </c>
      <c r="Y49" s="2" t="n">
        <v>545000</v>
      </c>
      <c r="Z49" s="2" t="n">
        <v>332990</v>
      </c>
      <c r="AA49" s="2" t="n">
        <v>30</v>
      </c>
      <c r="AB49" s="2" t="n">
        <v>3.97</v>
      </c>
      <c r="AC49" s="2" t="n">
        <v>1067664</v>
      </c>
      <c r="AD49" s="2" t="n">
        <v>2.08</v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>
        <v>154.3</v>
      </c>
      <c r="Y50" s="2" t="n">
        <v>545101</v>
      </c>
      <c r="Z50" s="2" t="n">
        <v>333628.7</v>
      </c>
      <c r="AA50" s="2" t="n">
        <v>30</v>
      </c>
      <c r="AB50" s="2" t="n">
        <v>3.98</v>
      </c>
      <c r="AC50" s="2" t="n">
        <v>1072808.8</v>
      </c>
      <c r="AD50" s="2" t="n">
        <v>2.08</v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>
        <v>155.4907677356657</v>
      </c>
      <c r="Y51" s="2" t="n">
        <v>550000</v>
      </c>
      <c r="Z51" s="2" t="n">
        <v>334000</v>
      </c>
      <c r="AA51" s="2" t="n">
        <v>30.19999891120021</v>
      </c>
      <c r="AB51" s="2" t="n">
        <v>4</v>
      </c>
      <c r="AC51" s="2" t="n">
        <v>1075000</v>
      </c>
      <c r="AD51" s="2" t="n">
        <v>2.08</v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>
        <v>158.1196581196581</v>
      </c>
      <c r="Y52" s="2" t="n">
        <v>555000</v>
      </c>
      <c r="Z52" s="2" t="n">
        <v>334000</v>
      </c>
      <c r="AA52" s="2" t="n">
        <v>30.28</v>
      </c>
      <c r="AB52" s="2" t="n">
        <v>4</v>
      </c>
      <c r="AC52" s="2" t="n">
        <v>1090000</v>
      </c>
      <c r="AD52" s="2" t="n">
        <v>2.089950083892618</v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>
        <v>159</v>
      </c>
      <c r="Y53" s="2" t="n">
        <v>565877.26</v>
      </c>
      <c r="Z53" s="2" t="n">
        <v>347666.6666666667</v>
      </c>
      <c r="AA53" s="2" t="n">
        <v>30.3</v>
      </c>
      <c r="AB53" s="2" t="n">
        <v>4</v>
      </c>
      <c r="AC53" s="2" t="n">
        <v>1092562</v>
      </c>
      <c r="AD53" s="2" t="n">
        <v>2.09</v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>
        <v>159</v>
      </c>
      <c r="Y54" s="2" t="n">
        <v>569813.21</v>
      </c>
      <c r="Z54" s="2" t="n">
        <v>347833.3333333333</v>
      </c>
      <c r="AA54" s="2" t="n">
        <v>30.4</v>
      </c>
      <c r="AB54" s="2" t="n">
        <v>4.15</v>
      </c>
      <c r="AC54" s="2" t="n">
        <v>1093000</v>
      </c>
      <c r="AD54" s="2" t="n">
        <v>2.098636363636364</v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>
        <v>182.9</v>
      </c>
      <c r="Y55" s="2" t="n">
        <v>570000</v>
      </c>
      <c r="Z55" s="2" t="n">
        <v>354800</v>
      </c>
      <c r="AA55" s="2" t="n">
        <v>30.4330835117773</v>
      </c>
      <c r="AB55" s="2" t="n">
        <v>4.2</v>
      </c>
      <c r="AC55" s="2" t="n">
        <v>1096539.31</v>
      </c>
      <c r="AD55" s="2" t="n">
        <v>2.098999938022352</v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>
        <v>183.1870967741935</v>
      </c>
      <c r="Y56" s="2" t="n">
        <v>573468.67</v>
      </c>
      <c r="Z56" s="2" t="n">
        <v>358000</v>
      </c>
      <c r="AA56" s="2" t="n">
        <v>30.5</v>
      </c>
      <c r="AB56" s="2" t="n">
        <v>4.2</v>
      </c>
      <c r="AC56" s="2" t="n">
        <v>1098089.8275</v>
      </c>
      <c r="AD56" s="2" t="n">
        <v>2.099966062683612</v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>
        <v>222</v>
      </c>
      <c r="Y57" s="2" t="n">
        <v>580000</v>
      </c>
      <c r="Z57" s="2" t="n">
        <v>358500</v>
      </c>
      <c r="AA57" s="2" t="n">
        <v>30.69265864786396</v>
      </c>
      <c r="AB57" s="2" t="n">
        <v>4.26</v>
      </c>
      <c r="AC57" s="2" t="n">
        <v>1100000</v>
      </c>
      <c r="AD57" s="2" t="n">
        <v>2.099990666708148</v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>
        <v>222.9299363057325</v>
      </c>
      <c r="Y58" s="2" t="n">
        <v>580553.39</v>
      </c>
      <c r="Z58" s="2" t="n">
        <v>380000</v>
      </c>
      <c r="AA58" s="2" t="n">
        <v>30.7</v>
      </c>
      <c r="AB58" s="2" t="n">
        <v>4.26</v>
      </c>
      <c r="AC58" s="2" t="n">
        <v>1100000</v>
      </c>
      <c r="AD58" s="2" t="n">
        <v>2.099999876330121</v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>
        <v>412</v>
      </c>
      <c r="Y59" s="2" t="n">
        <v>582495</v>
      </c>
      <c r="Z59" s="2" t="n">
        <v>380000</v>
      </c>
      <c r="AA59" s="2" t="n">
        <v>30.70738381808055</v>
      </c>
      <c r="AB59" s="2" t="n">
        <v>4.26</v>
      </c>
      <c r="AC59" s="2" t="n">
        <v>1121000</v>
      </c>
      <c r="AD59" s="2" t="n">
        <v>2.099999972886143</v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>
        <v>485.3333333333333</v>
      </c>
      <c r="Y60" s="2" t="n">
        <v>589990</v>
      </c>
      <c r="Z60" s="2" t="n">
        <v>389000</v>
      </c>
      <c r="AA60" s="2" t="n">
        <v>30.98756400877834</v>
      </c>
      <c r="AB60" s="2" t="n">
        <v>4.26</v>
      </c>
      <c r="AC60" s="2" t="n">
        <v>1125231.46</v>
      </c>
      <c r="AD60" s="2" t="n">
        <v>2.09999998017612</v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>
        <v>73800</v>
      </c>
      <c r="Y61" s="2" t="n">
        <v>599690</v>
      </c>
      <c r="Z61" s="2" t="n">
        <v>389000</v>
      </c>
      <c r="AA61" s="2" t="n">
        <v>31</v>
      </c>
      <c r="AB61" s="2" t="n">
        <v>4.26</v>
      </c>
      <c r="AC61" s="2" t="n">
        <v>1127490</v>
      </c>
      <c r="AD61" s="2" t="n">
        <v>2.099999988302138</v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>
        <v>531370.38</v>
      </c>
      <c r="Y62" s="2" t="n">
        <v>600000</v>
      </c>
      <c r="Z62" s="2" t="n">
        <v>393351.22</v>
      </c>
      <c r="AA62" s="2" t="n">
        <v>31.00375148990347</v>
      </c>
      <c r="AB62" s="2" t="n">
        <v>4.26</v>
      </c>
      <c r="AC62" s="2" t="n">
        <v>1130000</v>
      </c>
      <c r="AD62" s="2" t="n">
        <v>2.1</v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>
        <v>1388800</v>
      </c>
      <c r="Y63" s="2" t="n">
        <v>620000</v>
      </c>
      <c r="Z63" s="2" t="n">
        <v>395000</v>
      </c>
      <c r="AA63" s="2" t="n">
        <v>31.19</v>
      </c>
      <c r="AB63" s="2" t="n">
        <v>4.26</v>
      </c>
      <c r="AC63" s="2" t="n">
        <v>1135000</v>
      </c>
      <c r="AD63" s="2" t="n">
        <v>2.1</v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>
        <v>775000</v>
      </c>
      <c r="Z64" s="2" t="n">
        <v>422800</v>
      </c>
      <c r="AA64" s="2" t="n">
        <v>31.2</v>
      </c>
      <c r="AB64" s="2" t="n">
        <v>4.3</v>
      </c>
      <c r="AC64" s="2" t="n">
        <v>1140985.89</v>
      </c>
      <c r="AD64" s="2" t="n">
        <v>2.1</v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>
        <v>425980</v>
      </c>
      <c r="AA65" s="2" t="n">
        <v>31.30117276780696</v>
      </c>
      <c r="AB65" s="2" t="n">
        <v>4.3</v>
      </c>
      <c r="AC65" s="2" t="n">
        <v>1143871</v>
      </c>
      <c r="AD65" s="2" t="n">
        <v>2.1</v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>
        <v>434983.4</v>
      </c>
      <c r="AA66" s="2" t="n">
        <v>31.5</v>
      </c>
      <c r="AB66" s="2" t="n">
        <v>4.5</v>
      </c>
      <c r="AC66" s="2" t="n">
        <v>1145781.53</v>
      </c>
      <c r="AD66" s="2" t="n">
        <v>2.1</v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>
        <v>436517.4</v>
      </c>
      <c r="AA67" s="2" t="n">
        <v>32</v>
      </c>
      <c r="AB67" s="2" t="n">
        <v>4.500000000000001</v>
      </c>
      <c r="AC67" s="2" t="n">
        <v>1147525.69</v>
      </c>
      <c r="AD67" s="2" t="n">
        <v>2.1</v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>
        <v>460000</v>
      </c>
      <c r="AA68" s="2" t="n">
        <v>32.09</v>
      </c>
      <c r="AB68" s="2" t="n">
        <v>4.6</v>
      </c>
      <c r="AC68" s="2" t="n">
        <v>1150000</v>
      </c>
      <c r="AD68" s="2" t="n">
        <v>2.1</v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>
        <v>465601.58</v>
      </c>
      <c r="AA69" s="2" t="n">
        <v>32.5</v>
      </c>
      <c r="AB69" s="2" t="n">
        <v>4.6</v>
      </c>
      <c r="AC69" s="2" t="n">
        <v>1150000</v>
      </c>
      <c r="AD69" s="2" t="n">
        <v>2.1</v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>
        <v>465900</v>
      </c>
      <c r="AA70" s="2" t="n">
        <v>32.7</v>
      </c>
      <c r="AB70" s="2" t="n">
        <v>4.76</v>
      </c>
      <c r="AC70" s="2" t="n">
        <v>1157164.76</v>
      </c>
      <c r="AD70" s="2" t="n">
        <v>2.1</v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>
        <v>473545.8</v>
      </c>
      <c r="AA71" s="2" t="n">
        <v>32.72</v>
      </c>
      <c r="AB71" s="2" t="n">
        <v>4.78</v>
      </c>
      <c r="AC71" s="2" t="n">
        <v>1163295</v>
      </c>
      <c r="AD71" s="2" t="n">
        <v>2.1</v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>
        <v>482313</v>
      </c>
      <c r="AA72" s="2" t="n">
        <v>32.8</v>
      </c>
      <c r="AB72" s="2" t="n">
        <v>4.8</v>
      </c>
      <c r="AC72" s="2" t="n">
        <v>1163775</v>
      </c>
      <c r="AD72" s="2" t="n">
        <v>2.1</v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>
        <v>589900</v>
      </c>
      <c r="AA73" s="2" t="n">
        <v>32.8</v>
      </c>
      <c r="AB73" s="2" t="n">
        <v>4.8</v>
      </c>
      <c r="AC73" s="2" t="n">
        <v>1167975.56</v>
      </c>
      <c r="AD73" s="2" t="n">
        <v>2.1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>
        <v>32.99</v>
      </c>
      <c r="AB74" s="2" t="n">
        <v>4.869999999999999</v>
      </c>
      <c r="AC74" s="2" t="n">
        <v>1168696.54</v>
      </c>
      <c r="AD74" s="2" t="n">
        <v>2.1</v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>
        <v>33</v>
      </c>
      <c r="AB75" s="2" t="n">
        <v>4.87</v>
      </c>
      <c r="AC75" s="2" t="n">
        <v>1170850.04</v>
      </c>
      <c r="AD75" s="2" t="n">
        <v>2.1</v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>
        <v>33.2</v>
      </c>
      <c r="AB76" s="2" t="n">
        <v>4.87</v>
      </c>
      <c r="AC76" s="2" t="n">
        <v>1178943.9</v>
      </c>
      <c r="AD76" s="2" t="n">
        <v>2.11</v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>
        <v>33.3</v>
      </c>
      <c r="AB77" s="2" t="n">
        <v>4.949999999999999</v>
      </c>
      <c r="AC77" s="2" t="n">
        <v>1190000</v>
      </c>
      <c r="AD77" s="2" t="n">
        <v>2.11</v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>
        <v>33.33333333333334</v>
      </c>
      <c r="AB78" s="2" t="n">
        <v>4.99</v>
      </c>
      <c r="AC78" s="2" t="n">
        <v>1200000</v>
      </c>
      <c r="AD78" s="2" t="n">
        <v>2.12</v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>
        <v>33.5</v>
      </c>
      <c r="AB79" s="2" t="n">
        <v>5.1</v>
      </c>
      <c r="AC79" s="2" t="n">
        <v>1200000</v>
      </c>
      <c r="AD79" s="2" t="n">
        <v>2.12</v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>
        <v>33.86</v>
      </c>
      <c r="AB80" s="2" t="n">
        <v>5.142</v>
      </c>
      <c r="AC80" s="2" t="n">
        <v>1200000</v>
      </c>
      <c r="AD80" s="2" t="n">
        <v>2.120000030319212</v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>
        <v>34</v>
      </c>
      <c r="AB81" s="2" t="n">
        <v>5.19</v>
      </c>
      <c r="AC81" s="2" t="n">
        <v>1200000</v>
      </c>
      <c r="AD81" s="2" t="n">
        <v>2.13</v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>
        <v>34.97428214731585</v>
      </c>
      <c r="AB82" s="2" t="n">
        <v>5.19</v>
      </c>
      <c r="AC82" s="2" t="n">
        <v>1208096.86</v>
      </c>
      <c r="AD82" s="2" t="n">
        <v>2.14</v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>
        <v>35</v>
      </c>
      <c r="AB83" s="2" t="n">
        <v>5.2</v>
      </c>
      <c r="AC83" s="2" t="n">
        <v>1211095</v>
      </c>
      <c r="AD83" s="2" t="n">
        <v>2.147999993265687</v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>
        <v>36.63911845730028</v>
      </c>
      <c r="AB84" s="2" t="n">
        <v>5.2</v>
      </c>
      <c r="AC84" s="2" t="n">
        <v>1221541.66</v>
      </c>
      <c r="AD84" s="2" t="n">
        <v>2.15</v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>
        <v>40</v>
      </c>
      <c r="AB85" s="2" t="n">
        <v>5.2</v>
      </c>
      <c r="AC85" s="2" t="n">
        <v>1227495</v>
      </c>
      <c r="AD85" s="2" t="n">
        <v>2.15</v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>
        <v>41</v>
      </c>
      <c r="AB86" s="2" t="n">
        <v>5.3</v>
      </c>
      <c r="AC86" s="2" t="n">
        <v>1250000</v>
      </c>
      <c r="AD86" s="2" t="n">
        <v>2.15</v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>
        <v>43</v>
      </c>
      <c r="AB87" s="2" t="n">
        <v>5.5</v>
      </c>
      <c r="AC87" s="2" t="n">
        <v>1254938.5</v>
      </c>
      <c r="AD87" s="2" t="n">
        <v>2.15</v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>
        <v>5.5</v>
      </c>
      <c r="AC88" s="2" t="n">
        <v>1268000</v>
      </c>
      <c r="AD88" s="2" t="n">
        <v>2.15</v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>
        <v>5.5</v>
      </c>
      <c r="AC89" s="2" t="n">
        <v>1268622.72</v>
      </c>
      <c r="AD89" s="2" t="n">
        <v>2.16</v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>
        <v>5.5</v>
      </c>
      <c r="AC90" s="2" t="n">
        <v>1280000</v>
      </c>
      <c r="AD90" s="2" t="n">
        <v>2.17</v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>
        <v>5.5</v>
      </c>
      <c r="AC91" s="2" t="n">
        <v>1282424</v>
      </c>
      <c r="AD91" s="2" t="n">
        <v>2.17</v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>
        <v>5.600467289719626</v>
      </c>
      <c r="AC92" s="2" t="n">
        <v>1291513.78</v>
      </c>
      <c r="AD92" s="2" t="n">
        <v>2.17</v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>
        <v>5.800700413880929</v>
      </c>
      <c r="AC93" s="2" t="n">
        <v>1293121.88</v>
      </c>
      <c r="AD93" s="2" t="n">
        <v>2.179999941033651</v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>
        <v>5.899815423119036</v>
      </c>
      <c r="AC94" s="2" t="n">
        <v>1294713.7</v>
      </c>
      <c r="AD94" s="2" t="n">
        <v>2.18</v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>
        <v>5.899815423119036</v>
      </c>
      <c r="AC95" s="2" t="n">
        <v>1296000</v>
      </c>
      <c r="AD95" s="2" t="n">
        <v>2.18</v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>
        <v>5.899815423119036</v>
      </c>
      <c r="AC96" s="2" t="n">
        <v>1301678.53</v>
      </c>
      <c r="AD96" s="2" t="n">
        <v>2.18001902734101</v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>
        <v>5.899815423119036</v>
      </c>
      <c r="AC97" s="2" t="n">
        <v>1306891.3</v>
      </c>
      <c r="AD97" s="2" t="n">
        <v>2.19</v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>
        <v>5.899815423119036</v>
      </c>
      <c r="AC98" s="2" t="n">
        <v>1308412</v>
      </c>
      <c r="AD98" s="2" t="n">
        <v>2.19</v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>
        <v>5.899815423119036</v>
      </c>
      <c r="AC99" s="2" t="n">
        <v>1318052.21</v>
      </c>
      <c r="AD99" s="2" t="n">
        <v>2.19</v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>
        <v>5.899815423119036</v>
      </c>
      <c r="AC100" s="2" t="n">
        <v>1320217.16</v>
      </c>
      <c r="AD100" s="2" t="n">
        <v>2.195</v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>
        <v>5.899815423119036</v>
      </c>
      <c r="AC101" s="2" t="n">
        <v>1325000</v>
      </c>
      <c r="AD101" s="2" t="n">
        <v>2.19999561092295</v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>
        <v>5.899815423119036</v>
      </c>
      <c r="AC102" s="2" t="n">
        <v>1326579.6</v>
      </c>
      <c r="AD102" s="2" t="n">
        <v>2.2</v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>
        <v>5.899815423119036</v>
      </c>
      <c r="AC103" s="2" t="n">
        <v>1329536.68</v>
      </c>
      <c r="AD103" s="2" t="n">
        <v>2.2</v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>
        <v>5.899815423119036</v>
      </c>
      <c r="AC104" s="2" t="n">
        <v>1331630</v>
      </c>
      <c r="AD104" s="2" t="n">
        <v>2.2</v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>
        <v>5.899815423119036</v>
      </c>
      <c r="AC105" s="2" t="n">
        <v>1333748.57</v>
      </c>
      <c r="AD105" s="2" t="n">
        <v>2.2</v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>
        <v>5.9</v>
      </c>
      <c r="AC106" s="2" t="n">
        <v>1336670.72</v>
      </c>
      <c r="AD106" s="2" t="n">
        <v>2.2</v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>
        <v>5.9</v>
      </c>
      <c r="AC107" s="2" t="n">
        <v>1340000</v>
      </c>
      <c r="AD107" s="2" t="n">
        <v>2.2</v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>
        <v>5.9</v>
      </c>
      <c r="AC108" s="2" t="n">
        <v>1344590.18</v>
      </c>
      <c r="AD108" s="2" t="n">
        <v>2.2</v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>
        <v>5.9</v>
      </c>
      <c r="AC109" s="2" t="n">
        <v>1345879.68</v>
      </c>
      <c r="AD109" s="2" t="n">
        <v>2.2</v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>
        <v>5.9</v>
      </c>
      <c r="AC110" s="2" t="n">
        <v>1350000</v>
      </c>
      <c r="AD110" s="2" t="n">
        <v>2.2</v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>
        <v>5.9</v>
      </c>
      <c r="AC111" s="2" t="n">
        <v>1350150</v>
      </c>
      <c r="AD111" s="2" t="n">
        <v>2.2</v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>
        <v>5.9</v>
      </c>
      <c r="AC112" s="2" t="n">
        <v>1352641.7875</v>
      </c>
      <c r="AD112" s="2" t="n">
        <v>2.2</v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>
        <v>5.9</v>
      </c>
      <c r="AC113" s="2" t="n">
        <v>1355000</v>
      </c>
      <c r="AD113" s="2" t="n">
        <v>2.2</v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>
        <v>5.9</v>
      </c>
      <c r="AC114" s="2" t="n">
        <v>1358251.15</v>
      </c>
      <c r="AD114" s="2" t="n">
        <v>2.2</v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>
        <v>5.9</v>
      </c>
      <c r="AC115" s="2" t="n">
        <v>1365817.49</v>
      </c>
      <c r="AD115" s="2" t="n">
        <v>2.2</v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>
        <v>5.9</v>
      </c>
      <c r="AC116" s="2" t="n">
        <v>1370511.8</v>
      </c>
      <c r="AD116" s="2" t="n">
        <v>2.2</v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>
        <v>6</v>
      </c>
      <c r="AC117" s="2" t="n">
        <v>1372000</v>
      </c>
      <c r="AD117" s="2" t="n">
        <v>2.2</v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>
        <v>6.324430404583447</v>
      </c>
      <c r="AC118" s="2" t="n">
        <v>1372965.4</v>
      </c>
      <c r="AD118" s="2" t="n">
        <v>2.2</v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>
        <v>6.480514102649045</v>
      </c>
      <c r="AC119" s="2" t="n">
        <v>1373654.52</v>
      </c>
      <c r="AD119" s="2" t="n">
        <v>2.200000063538276</v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>
        <v>7.25</v>
      </c>
      <c r="AC120" s="2" t="n">
        <v>1385000</v>
      </c>
      <c r="AD120" s="2" t="n">
        <v>2.21</v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>
        <v>7.5</v>
      </c>
      <c r="AC121" s="2" t="n">
        <v>1404200</v>
      </c>
      <c r="AD121" s="2" t="n">
        <v>2.225</v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>
        <v>45</v>
      </c>
      <c r="AC122" s="2" t="n">
        <v>1423000</v>
      </c>
      <c r="AD122" s="2" t="n">
        <v>2.229999984484586</v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>
        <v>1436860</v>
      </c>
      <c r="AD123" s="2" t="n">
        <v>2.23</v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>
        <v>1485000</v>
      </c>
      <c r="AD124" s="2" t="n">
        <v>2.23</v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>
        <v>1492539.05</v>
      </c>
      <c r="AD125" s="2" t="n">
        <v>2.230000059974603</v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>
        <v>1517000</v>
      </c>
      <c r="AD126" s="2" t="n">
        <v>2.230000860086595</v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>
        <v>1643874.05</v>
      </c>
      <c r="AD127" s="2" t="n">
        <v>2.25</v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>
        <v>1790213.4</v>
      </c>
      <c r="AD128" s="2" t="n">
        <v>2.25</v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>
        <v>2.25</v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>
        <v>2.25</v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>
        <v>2.25</v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>
        <v>2.25</v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>
        <v>2.25</v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>
        <v>2.25</v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>
        <v>2.250012712133731</v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>
        <v>2.250064300411523</v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>
        <v>2.26</v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>
        <v>2.26</v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>
        <v>2.266648496411375</v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>
        <v>2.289009291329925</v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>
        <v>2.298</v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>
        <v>2.298516147803317</v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>
        <v>2.3</v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>
        <v>2.3</v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>
        <v>2.3</v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>
        <v>2.3</v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>
        <v>2.3</v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>
        <v>2.3</v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>
        <v>2.3</v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>
        <v>2.3</v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>
        <v>2.3</v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>
        <v>2.3</v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>
        <v>2.3</v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>
        <v>2.3</v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>
        <v>2.3</v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>
        <v>2.3</v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>
        <v>2.32</v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>
        <v>2.325</v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>
        <v>2.33</v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>
        <v>2.349809080938186</v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>
        <v>2.35</v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>
        <v>2.38</v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>
        <v>2.4</v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>
        <v>2.4</v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>
        <v>2.4</v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>
        <v>2.4</v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>
        <v>2.4</v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>
        <v>2.4</v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>
        <v>2.4</v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>
        <v>2.4</v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>
        <v>2.45</v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>
        <v>2.45</v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>
        <v>2.46</v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>
        <v>2.48</v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>
        <v>2.49</v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>
        <v>2.5</v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>
        <v>2.5</v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>
        <v>2.5</v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>
        <v>2.5</v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>
        <v>2.56</v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>
        <v>2.599989667820427</v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>
        <v>2.6</v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>
        <v>3.086225134089212</v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>
        <v>3.725</v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>
        <v>3.84</v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>
        <v>3.840375</v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>
        <v>3.97</v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>
        <v>3.995</v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>
        <v>4</v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>
        <v>4.1</v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>
        <v>4.1</v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>
        <v>4.110488372093023</v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>
        <v>4.12</v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>
        <v>4.15</v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>
        <v>4.3</v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>
        <v>4.3</v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>
        <v>4.399642986808665</v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>
        <v>4.646168862859931</v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>
        <v>5.298127237675572</v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>
        <v>25.48342394201045</v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>
        <v>50</v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>
        <v>97.92</v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>
        <v>44000</v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>
        <v>48000.15</v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>
        <v>53359</v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>
        <v>54811.77</v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>
        <v>55929.6</v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>
        <v>72285.36</v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>
        <v>78350</v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>
        <v>93660.61</v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>
        <v>95805.07000000001</v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>
        <v>110934.75</v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>
        <v>143000</v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>
        <v>269783.4</v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>
        <v>342528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5"/>
  <sheetViews>
    <sheetView workbookViewId="0">
      <selection activeCell="A1" sqref="A1"/>
    </sheetView>
  </sheetViews>
  <sheetFormatPr baseColWidth="8" defaultRowHeight="15"/>
  <sheetData>
    <row r="1">
      <c r="A1" s="1" t="n">
        <v>61903</v>
      </c>
      <c r="B1" s="1" t="n">
        <v>388620</v>
      </c>
      <c r="C1" s="1" t="n">
        <v>362466</v>
      </c>
      <c r="D1" s="1" t="n">
        <v>390554</v>
      </c>
      <c r="E1" s="1" t="n">
        <v>392233</v>
      </c>
      <c r="F1" s="1" t="n">
        <v>184418</v>
      </c>
      <c r="G1" s="1" t="n">
        <v>286158</v>
      </c>
      <c r="H1" s="1" t="n">
        <v>60522</v>
      </c>
      <c r="I1" s="1" t="n">
        <v>385674</v>
      </c>
      <c r="J1" s="1" t="n">
        <v>390914</v>
      </c>
      <c r="K1" s="1" t="n">
        <v>61853</v>
      </c>
      <c r="L1" s="1" t="n">
        <v>391873</v>
      </c>
      <c r="M1" s="1" t="n">
        <v>184824</v>
      </c>
      <c r="N1" s="1" t="n">
        <v>2453</v>
      </c>
      <c r="O1" s="1" t="n">
        <v>369538</v>
      </c>
      <c r="P1" s="1" t="n">
        <v>367431</v>
      </c>
      <c r="Q1" s="1" t="n">
        <v>211221</v>
      </c>
      <c r="R1" s="1" t="n">
        <v>60267</v>
      </c>
      <c r="S1" s="1" t="n">
        <v>380409</v>
      </c>
      <c r="T1" s="1" t="n">
        <v>59202</v>
      </c>
      <c r="U1" s="1" t="n">
        <v>178724</v>
      </c>
      <c r="V1" s="1" t="n">
        <v>329939</v>
      </c>
      <c r="W1" s="1" t="n">
        <v>385153</v>
      </c>
      <c r="X1" s="1" t="n">
        <v>151276</v>
      </c>
      <c r="Y1" s="1" t="n">
        <v>64564</v>
      </c>
      <c r="Z1" s="1" t="n">
        <v>65085</v>
      </c>
      <c r="AA1" s="1" t="n">
        <v>259255</v>
      </c>
      <c r="AB1" s="1" t="n">
        <v>2675</v>
      </c>
      <c r="AC1" s="1" t="n">
        <v>385506</v>
      </c>
      <c r="AD1" s="1" t="n">
        <v>134565</v>
      </c>
    </row>
    <row r="2">
      <c r="A2" s="2" t="n">
        <v>4</v>
      </c>
      <c r="B2" s="2" t="n">
        <v>3</v>
      </c>
      <c r="C2" s="2" t="n">
        <v>2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4</v>
      </c>
      <c r="I2" s="2" t="n">
        <v>1</v>
      </c>
      <c r="J2" s="2" t="n">
        <v>2</v>
      </c>
      <c r="K2" s="2" t="n">
        <v>1</v>
      </c>
      <c r="L2" s="2" t="n">
        <v>1</v>
      </c>
      <c r="M2" s="2" t="n">
        <v>1</v>
      </c>
      <c r="N2" s="2" t="n">
        <v>2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2</v>
      </c>
      <c r="U2" s="2" t="n">
        <v>1</v>
      </c>
      <c r="V2" s="2" t="n">
        <v>1</v>
      </c>
      <c r="W2" s="2" t="n">
        <v>2</v>
      </c>
      <c r="X2" s="2" t="n">
        <v>1</v>
      </c>
      <c r="Y2" s="2" t="n">
        <v>1</v>
      </c>
      <c r="Z2" s="2" t="n">
        <v>1</v>
      </c>
      <c r="AA2" s="2" t="n">
        <v>2</v>
      </c>
      <c r="AB2" s="2" t="n">
        <v>1</v>
      </c>
      <c r="AC2" s="2" t="n">
        <v>1</v>
      </c>
      <c r="AD2" s="2" t="n">
        <v>1</v>
      </c>
    </row>
    <row r="3">
      <c r="A3" s="2" t="n">
        <v>5</v>
      </c>
      <c r="B3" s="2" t="n">
        <v>5</v>
      </c>
      <c r="C3" s="2" t="n">
        <v>3</v>
      </c>
      <c r="D3" s="2" t="n">
        <v>3</v>
      </c>
      <c r="E3" s="2" t="n">
        <v>2</v>
      </c>
      <c r="F3" s="2" t="n">
        <v>2</v>
      </c>
      <c r="G3" s="2" t="n">
        <v>1</v>
      </c>
      <c r="H3" s="2" t="n">
        <v>5</v>
      </c>
      <c r="I3" s="2" t="n">
        <v>2</v>
      </c>
      <c r="J3" s="2" t="n">
        <v>3</v>
      </c>
      <c r="K3" s="2" t="n">
        <v>2</v>
      </c>
      <c r="L3" s="2" t="n">
        <v>1</v>
      </c>
      <c r="M3" s="2" t="n">
        <v>1</v>
      </c>
      <c r="N3" s="2" t="n">
        <v>2</v>
      </c>
      <c r="O3" s="2" t="n">
        <v>2</v>
      </c>
      <c r="P3" s="2" t="n">
        <v>1</v>
      </c>
      <c r="Q3" s="2" t="n">
        <v>2</v>
      </c>
      <c r="R3" s="2" t="n">
        <v>1</v>
      </c>
      <c r="S3" s="2" t="n">
        <v>1</v>
      </c>
      <c r="T3" s="2" t="n">
        <v>2</v>
      </c>
      <c r="U3" s="2" t="n">
        <v>1</v>
      </c>
      <c r="V3" s="2" t="n">
        <v>2</v>
      </c>
      <c r="W3" s="2" t="n">
        <v>2</v>
      </c>
      <c r="X3" s="2" t="n">
        <v>1</v>
      </c>
      <c r="Y3" s="2" t="n">
        <v>1</v>
      </c>
      <c r="Z3" s="2" t="n">
        <v>1</v>
      </c>
      <c r="AA3" s="2" t="n">
        <v>2</v>
      </c>
      <c r="AB3" s="2" t="n">
        <v>1</v>
      </c>
      <c r="AC3" s="2" t="n">
        <v>1</v>
      </c>
      <c r="AD3" s="2" t="n">
        <v>1</v>
      </c>
    </row>
    <row r="4">
      <c r="A4" s="2" t="n">
        <v>5</v>
      </c>
      <c r="B4" s="2" t="n">
        <v>7</v>
      </c>
      <c r="C4" s="2" t="n">
        <v>3</v>
      </c>
      <c r="D4" s="2" t="n">
        <v>3</v>
      </c>
      <c r="E4" s="2" t="n">
        <v>2</v>
      </c>
      <c r="F4" s="2" t="n">
        <v>2</v>
      </c>
      <c r="G4" s="2" t="n">
        <v>1</v>
      </c>
      <c r="H4" s="2" t="n">
        <v>6</v>
      </c>
      <c r="I4" s="2" t="n">
        <v>3</v>
      </c>
      <c r="J4" s="2" t="n">
        <v>3</v>
      </c>
      <c r="K4" s="2" t="n">
        <v>2</v>
      </c>
      <c r="L4" s="2" t="n">
        <v>2</v>
      </c>
      <c r="M4" s="2" t="n">
        <v>1</v>
      </c>
      <c r="N4" s="2" t="n">
        <v>2</v>
      </c>
      <c r="O4" s="2" t="n">
        <v>3</v>
      </c>
      <c r="P4" s="2" t="n">
        <v>2</v>
      </c>
      <c r="Q4" s="2" t="n">
        <v>2</v>
      </c>
      <c r="R4" s="2" t="n">
        <v>1</v>
      </c>
      <c r="S4" s="2" t="n">
        <v>1</v>
      </c>
      <c r="T4" s="2" t="n">
        <v>5</v>
      </c>
      <c r="U4" s="2" t="n">
        <v>1</v>
      </c>
      <c r="V4" s="2" t="n">
        <v>3</v>
      </c>
      <c r="W4" s="2" t="n">
        <v>3</v>
      </c>
      <c r="X4" s="2" t="n">
        <v>1</v>
      </c>
      <c r="Y4" s="2" t="n">
        <v>1</v>
      </c>
      <c r="Z4" s="2" t="n">
        <v>1</v>
      </c>
      <c r="AA4" s="2" t="n">
        <v>2</v>
      </c>
      <c r="AB4" s="2" t="n">
        <v>1</v>
      </c>
      <c r="AC4" s="2" t="n">
        <v>1</v>
      </c>
      <c r="AD4" s="2" t="n">
        <v>1</v>
      </c>
    </row>
    <row r="5">
      <c r="A5" s="2" t="n">
        <v>5</v>
      </c>
      <c r="B5" s="2" t="n">
        <v>11</v>
      </c>
      <c r="C5" s="2" t="n">
        <v>3</v>
      </c>
      <c r="D5" s="2" t="n">
        <v>4</v>
      </c>
      <c r="E5" s="2" t="n">
        <v>3</v>
      </c>
      <c r="F5" s="2" t="n">
        <v>3</v>
      </c>
      <c r="G5" s="2" t="n">
        <v>1</v>
      </c>
      <c r="H5" s="2" t="n">
        <v>7</v>
      </c>
      <c r="I5" s="2" t="n">
        <v>3</v>
      </c>
      <c r="J5" s="2" t="n">
        <v>3</v>
      </c>
      <c r="K5" s="2" t="n">
        <v>3</v>
      </c>
      <c r="L5" s="2" t="n">
        <v>3</v>
      </c>
      <c r="M5" s="2" t="n">
        <v>1</v>
      </c>
      <c r="N5" s="2" t="n">
        <v>3</v>
      </c>
      <c r="O5" s="2" t="n">
        <v>3</v>
      </c>
      <c r="P5" s="2" t="n">
        <v>2</v>
      </c>
      <c r="Q5" s="2" t="n">
        <v>2</v>
      </c>
      <c r="R5" s="2" t="n">
        <v>1</v>
      </c>
      <c r="S5" s="2" t="n">
        <v>1</v>
      </c>
      <c r="T5" s="2" t="n">
        <v>5</v>
      </c>
      <c r="U5" s="2" t="n">
        <v>1</v>
      </c>
      <c r="V5" s="2" t="n">
        <v>3</v>
      </c>
      <c r="W5" s="2" t="n">
        <v>3</v>
      </c>
      <c r="X5" s="2" t="n">
        <v>1</v>
      </c>
      <c r="Y5" s="2" t="n">
        <v>1</v>
      </c>
      <c r="Z5" s="2" t="n">
        <v>1</v>
      </c>
      <c r="AA5" s="2" t="n">
        <v>2</v>
      </c>
      <c r="AB5" s="2" t="n">
        <v>1</v>
      </c>
      <c r="AC5" s="2" t="n">
        <v>1</v>
      </c>
      <c r="AD5" s="2" t="n">
        <v>1</v>
      </c>
    </row>
    <row r="6">
      <c r="A6" s="2" t="n">
        <v>6</v>
      </c>
      <c r="B6" s="2" t="n"/>
      <c r="C6" s="2" t="n">
        <v>3</v>
      </c>
      <c r="D6" s="2" t="n">
        <v>8</v>
      </c>
      <c r="E6" s="2" t="n">
        <v>3</v>
      </c>
      <c r="F6" s="2" t="n">
        <v>3</v>
      </c>
      <c r="G6" s="2" t="n">
        <v>3</v>
      </c>
      <c r="H6" s="2" t="n">
        <v>7</v>
      </c>
      <c r="I6" s="2" t="n">
        <v>3</v>
      </c>
      <c r="J6" s="2" t="n">
        <v>3</v>
      </c>
      <c r="K6" s="2" t="n">
        <v>3</v>
      </c>
      <c r="L6" s="2" t="n">
        <v>3</v>
      </c>
      <c r="M6" s="2" t="n">
        <v>1</v>
      </c>
      <c r="N6" s="2" t="n">
        <v>3</v>
      </c>
      <c r="O6" s="2" t="n">
        <v>3</v>
      </c>
      <c r="P6" s="2" t="n">
        <v>2</v>
      </c>
      <c r="Q6" s="2" t="n">
        <v>3</v>
      </c>
      <c r="R6" s="2" t="n">
        <v>1</v>
      </c>
      <c r="S6" s="2" t="n">
        <v>1</v>
      </c>
      <c r="T6" s="2" t="n">
        <v>5</v>
      </c>
      <c r="U6" s="2" t="n">
        <v>1</v>
      </c>
      <c r="V6" s="2" t="n">
        <v>4</v>
      </c>
      <c r="W6" s="2" t="n">
        <v>3</v>
      </c>
      <c r="X6" s="2" t="n">
        <v>2</v>
      </c>
      <c r="Y6" s="2" t="n">
        <v>1</v>
      </c>
      <c r="Z6" s="2" t="n">
        <v>1</v>
      </c>
      <c r="AA6" s="2" t="n">
        <v>2</v>
      </c>
      <c r="AB6" s="2" t="n">
        <v>1</v>
      </c>
      <c r="AC6" s="2" t="n">
        <v>1</v>
      </c>
      <c r="AD6" s="2" t="n">
        <v>1</v>
      </c>
    </row>
    <row r="7">
      <c r="A7" s="2" t="n"/>
      <c r="B7" s="2" t="n"/>
      <c r="C7" s="2" t="n"/>
      <c r="D7" s="2" t="n"/>
      <c r="E7" s="2" t="n">
        <v>4</v>
      </c>
      <c r="F7" s="2" t="n">
        <v>6</v>
      </c>
      <c r="G7" s="2" t="n">
        <v>3</v>
      </c>
      <c r="H7" s="2" t="n">
        <v>7</v>
      </c>
      <c r="I7" s="2" t="n">
        <v>4</v>
      </c>
      <c r="J7" s="2" t="n">
        <v>4</v>
      </c>
      <c r="K7" s="2" t="n">
        <v>3</v>
      </c>
      <c r="L7" s="2" t="n">
        <v>4</v>
      </c>
      <c r="M7" s="2" t="n">
        <v>1</v>
      </c>
      <c r="N7" s="2" t="n">
        <v>3</v>
      </c>
      <c r="O7" s="2" t="n">
        <v>3</v>
      </c>
      <c r="P7" s="2" t="n">
        <v>2</v>
      </c>
      <c r="Q7" s="2" t="n">
        <v>3</v>
      </c>
      <c r="R7" s="2" t="n">
        <v>2</v>
      </c>
      <c r="S7" s="2" t="n">
        <v>2</v>
      </c>
      <c r="T7" s="2" t="n">
        <v>5</v>
      </c>
      <c r="U7" s="2" t="n">
        <v>1</v>
      </c>
      <c r="V7" s="2" t="n">
        <v>4</v>
      </c>
      <c r="W7" s="2" t="n">
        <v>3</v>
      </c>
      <c r="X7" s="2" t="n">
        <v>2</v>
      </c>
      <c r="Y7" s="2" t="n">
        <v>1</v>
      </c>
      <c r="Z7" s="2" t="n">
        <v>1</v>
      </c>
      <c r="AA7" s="2" t="n">
        <v>2</v>
      </c>
      <c r="AB7" s="2" t="n">
        <v>1</v>
      </c>
      <c r="AC7" s="2" t="n">
        <v>1</v>
      </c>
      <c r="AD7" s="2" t="n">
        <v>1</v>
      </c>
    </row>
    <row r="8">
      <c r="A8" s="2" t="n"/>
      <c r="B8" s="2" t="n"/>
      <c r="C8" s="2" t="n"/>
      <c r="D8" s="2" t="n"/>
      <c r="E8" s="2" t="n"/>
      <c r="F8" s="2" t="n"/>
      <c r="G8" s="2" t="n">
        <v>3</v>
      </c>
      <c r="H8" s="2" t="n">
        <v>7</v>
      </c>
      <c r="I8" s="2" t="n">
        <v>4</v>
      </c>
      <c r="J8" s="2" t="n">
        <v>7</v>
      </c>
      <c r="K8" s="2" t="n">
        <v>3</v>
      </c>
      <c r="L8" s="2" t="n">
        <v>4</v>
      </c>
      <c r="M8" s="2" t="n">
        <v>2</v>
      </c>
      <c r="N8" s="2" t="n">
        <v>3</v>
      </c>
      <c r="O8" s="2" t="n">
        <v>3</v>
      </c>
      <c r="P8" s="2" t="n">
        <v>2</v>
      </c>
      <c r="Q8" s="2" t="n">
        <v>3</v>
      </c>
      <c r="R8" s="2" t="n">
        <v>3</v>
      </c>
      <c r="S8" s="2" t="n">
        <v>3</v>
      </c>
      <c r="T8" s="2" t="n">
        <v>6</v>
      </c>
      <c r="U8" s="2" t="n">
        <v>1</v>
      </c>
      <c r="V8" s="2" t="n">
        <v>4</v>
      </c>
      <c r="W8" s="2" t="n">
        <v>3</v>
      </c>
      <c r="X8" s="2" t="n">
        <v>2</v>
      </c>
      <c r="Y8" s="2" t="n">
        <v>1</v>
      </c>
      <c r="Z8" s="2" t="n">
        <v>1</v>
      </c>
      <c r="AA8" s="2" t="n">
        <v>2</v>
      </c>
      <c r="AB8" s="2" t="n">
        <v>1</v>
      </c>
      <c r="AC8" s="2" t="n">
        <v>1</v>
      </c>
      <c r="AD8" s="2" t="n">
        <v>1</v>
      </c>
    </row>
    <row r="9">
      <c r="A9" s="2" t="n"/>
      <c r="B9" s="2" t="n"/>
      <c r="C9" s="2" t="n"/>
      <c r="D9" s="2" t="n"/>
      <c r="E9" s="2" t="n"/>
      <c r="F9" s="2" t="n"/>
      <c r="G9" s="2" t="n">
        <v>14</v>
      </c>
      <c r="H9" s="2" t="n">
        <v>17</v>
      </c>
      <c r="I9" s="2" t="n">
        <v>6</v>
      </c>
      <c r="J9" s="2" t="n">
        <v>10</v>
      </c>
      <c r="K9" s="2" t="n">
        <v>3</v>
      </c>
      <c r="L9" s="2" t="n">
        <v>4</v>
      </c>
      <c r="M9" s="2" t="n">
        <v>3</v>
      </c>
      <c r="N9" s="2" t="n">
        <v>3</v>
      </c>
      <c r="O9" s="2" t="n">
        <v>4</v>
      </c>
      <c r="P9" s="2" t="n">
        <v>2</v>
      </c>
      <c r="Q9" s="2" t="n">
        <v>3</v>
      </c>
      <c r="R9" s="2" t="n">
        <v>3</v>
      </c>
      <c r="S9" s="2" t="n">
        <v>3</v>
      </c>
      <c r="T9" s="2" t="n">
        <v>6</v>
      </c>
      <c r="U9" s="2" t="n">
        <v>1</v>
      </c>
      <c r="V9" s="2" t="n">
        <v>4</v>
      </c>
      <c r="W9" s="2" t="n">
        <v>3</v>
      </c>
      <c r="X9" s="2" t="n">
        <v>2</v>
      </c>
      <c r="Y9" s="2" t="n">
        <v>1</v>
      </c>
      <c r="Z9" s="2" t="n">
        <v>1</v>
      </c>
      <c r="AA9" s="2" t="n">
        <v>2</v>
      </c>
      <c r="AB9" s="2" t="n">
        <v>1</v>
      </c>
      <c r="AC9" s="2" t="n">
        <v>1</v>
      </c>
      <c r="AD9" s="2" t="n">
        <v>1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>
        <v>12</v>
      </c>
      <c r="J10" s="2" t="n">
        <v>20</v>
      </c>
      <c r="K10" s="2" t="n">
        <v>3</v>
      </c>
      <c r="L10" s="2" t="n">
        <v>5</v>
      </c>
      <c r="M10" s="2" t="n">
        <v>4</v>
      </c>
      <c r="N10" s="2" t="n">
        <v>4</v>
      </c>
      <c r="O10" s="2" t="n">
        <v>4</v>
      </c>
      <c r="P10" s="2" t="n">
        <v>2</v>
      </c>
      <c r="Q10" s="2" t="n">
        <v>3</v>
      </c>
      <c r="R10" s="2" t="n">
        <v>3</v>
      </c>
      <c r="S10" s="2" t="n">
        <v>3</v>
      </c>
      <c r="T10" s="2" t="n">
        <v>6</v>
      </c>
      <c r="U10" s="2" t="n">
        <v>1</v>
      </c>
      <c r="V10" s="2" t="n">
        <v>5</v>
      </c>
      <c r="W10" s="2" t="n">
        <v>3</v>
      </c>
      <c r="X10" s="2" t="n">
        <v>2</v>
      </c>
      <c r="Y10" s="2" t="n">
        <v>1</v>
      </c>
      <c r="Z10" s="2" t="n">
        <v>1</v>
      </c>
      <c r="AA10" s="2" t="n">
        <v>3</v>
      </c>
      <c r="AB10" s="2" t="n">
        <v>1</v>
      </c>
      <c r="AC10" s="2" t="n">
        <v>1</v>
      </c>
      <c r="AD10" s="2" t="n">
        <v>1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>
        <v>8</v>
      </c>
      <c r="L11" s="2" t="n">
        <v>6</v>
      </c>
      <c r="M11" s="2" t="n">
        <v>5</v>
      </c>
      <c r="N11" s="2" t="n">
        <v>5</v>
      </c>
      <c r="O11" s="2" t="n">
        <v>4</v>
      </c>
      <c r="P11" s="2" t="n">
        <v>2</v>
      </c>
      <c r="Q11" s="2" t="n">
        <v>4</v>
      </c>
      <c r="R11" s="2" t="n">
        <v>3</v>
      </c>
      <c r="S11" s="2" t="n">
        <v>3</v>
      </c>
      <c r="T11" s="2" t="n">
        <v>8</v>
      </c>
      <c r="U11" s="2" t="n">
        <v>1</v>
      </c>
      <c r="V11" s="2" t="n">
        <v>5</v>
      </c>
      <c r="W11" s="2" t="n">
        <v>3</v>
      </c>
      <c r="X11" s="2" t="n">
        <v>2</v>
      </c>
      <c r="Y11" s="2" t="n">
        <v>1</v>
      </c>
      <c r="Z11" s="2" t="n">
        <v>1</v>
      </c>
      <c r="AA11" s="2" t="n">
        <v>3</v>
      </c>
      <c r="AB11" s="2" t="n">
        <v>1</v>
      </c>
      <c r="AC11" s="2" t="n">
        <v>1</v>
      </c>
      <c r="AD11" s="2" t="n">
        <v>1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>
        <v>6</v>
      </c>
      <c r="M12" s="2" t="n">
        <v>7</v>
      </c>
      <c r="N12" s="2" t="n">
        <v>6</v>
      </c>
      <c r="O12" s="2" t="n">
        <v>5</v>
      </c>
      <c r="P12" s="2" t="n">
        <v>3</v>
      </c>
      <c r="Q12" s="2" t="n">
        <v>5</v>
      </c>
      <c r="R12" s="2" t="n">
        <v>3</v>
      </c>
      <c r="S12" s="2" t="n">
        <v>3</v>
      </c>
      <c r="T12" s="2" t="n">
        <v>9</v>
      </c>
      <c r="U12" s="2" t="n">
        <v>1</v>
      </c>
      <c r="V12" s="2" t="n">
        <v>5</v>
      </c>
      <c r="W12" s="2" t="n">
        <v>3</v>
      </c>
      <c r="X12" s="2" t="n">
        <v>2</v>
      </c>
      <c r="Y12" s="2" t="n">
        <v>1</v>
      </c>
      <c r="Z12" s="2" t="n">
        <v>1</v>
      </c>
      <c r="AA12" s="2" t="n">
        <v>3</v>
      </c>
      <c r="AB12" s="2" t="n">
        <v>1</v>
      </c>
      <c r="AC12" s="2" t="n">
        <v>1</v>
      </c>
      <c r="AD12" s="2" t="n">
        <v>1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>
        <v>4</v>
      </c>
      <c r="Q13" s="2" t="n">
        <v>6</v>
      </c>
      <c r="R13" s="2" t="n">
        <v>4</v>
      </c>
      <c r="S13" s="2" t="n">
        <v>4</v>
      </c>
      <c r="T13" s="2" t="n">
        <v>10</v>
      </c>
      <c r="U13" s="2" t="n">
        <v>1</v>
      </c>
      <c r="V13" s="2" t="n">
        <v>5</v>
      </c>
      <c r="W13" s="2" t="n">
        <v>4</v>
      </c>
      <c r="X13" s="2" t="n">
        <v>2</v>
      </c>
      <c r="Y13" s="2" t="n">
        <v>1</v>
      </c>
      <c r="Z13" s="2" t="n">
        <v>1</v>
      </c>
      <c r="AA13" s="2" t="n">
        <v>3</v>
      </c>
      <c r="AB13" s="2" t="n">
        <v>1</v>
      </c>
      <c r="AC13" s="2" t="n">
        <v>1</v>
      </c>
      <c r="AD13" s="2" t="n">
        <v>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>
        <v>4</v>
      </c>
      <c r="T14" s="2" t="n">
        <v>12</v>
      </c>
      <c r="U14" s="2" t="n">
        <v>1</v>
      </c>
      <c r="V14" s="2" t="n">
        <v>5</v>
      </c>
      <c r="W14" s="2" t="n">
        <v>4</v>
      </c>
      <c r="X14" s="2" t="n">
        <v>2</v>
      </c>
      <c r="Y14" s="2" t="n">
        <v>1</v>
      </c>
      <c r="Z14" s="2" t="n">
        <v>1</v>
      </c>
      <c r="AA14" s="2" t="n">
        <v>3</v>
      </c>
      <c r="AB14" s="2" t="n">
        <v>1</v>
      </c>
      <c r="AC14" s="2" t="n">
        <v>1</v>
      </c>
      <c r="AD14" s="2" t="n">
        <v>1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>
        <v>6</v>
      </c>
      <c r="T15" s="2" t="n">
        <v>12</v>
      </c>
      <c r="U15" s="2" t="n">
        <v>1</v>
      </c>
      <c r="V15" s="2" t="n">
        <v>6</v>
      </c>
      <c r="W15" s="2" t="n">
        <v>4</v>
      </c>
      <c r="X15" s="2" t="n">
        <v>2</v>
      </c>
      <c r="Y15" s="2" t="n">
        <v>1</v>
      </c>
      <c r="Z15" s="2" t="n">
        <v>1</v>
      </c>
      <c r="AA15" s="2" t="n">
        <v>3</v>
      </c>
      <c r="AB15" s="2" t="n">
        <v>1</v>
      </c>
      <c r="AC15" s="2" t="n">
        <v>1</v>
      </c>
      <c r="AD15" s="2" t="n">
        <v>1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>
        <v>6</v>
      </c>
      <c r="T16" s="2" t="n">
        <v>14</v>
      </c>
      <c r="U16" s="2" t="n">
        <v>1</v>
      </c>
      <c r="V16" s="2" t="n">
        <v>6</v>
      </c>
      <c r="W16" s="2" t="n">
        <v>5</v>
      </c>
      <c r="X16" s="2" t="n">
        <v>3</v>
      </c>
      <c r="Y16" s="2" t="n">
        <v>1</v>
      </c>
      <c r="Z16" s="2" t="n">
        <v>1</v>
      </c>
      <c r="AA16" s="2" t="n">
        <v>3</v>
      </c>
      <c r="AB16" s="2" t="n">
        <v>1</v>
      </c>
      <c r="AC16" s="2" t="n">
        <v>1</v>
      </c>
      <c r="AD16" s="2" t="n">
        <v>1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>
        <v>6</v>
      </c>
      <c r="T17" s="2" t="n">
        <v>14</v>
      </c>
      <c r="U17" s="2" t="n">
        <v>1</v>
      </c>
      <c r="V17" s="2" t="n">
        <v>6</v>
      </c>
      <c r="W17" s="2" t="n">
        <v>5</v>
      </c>
      <c r="X17" s="2" t="n">
        <v>3</v>
      </c>
      <c r="Y17" s="2" t="n">
        <v>1</v>
      </c>
      <c r="Z17" s="2" t="n">
        <v>1</v>
      </c>
      <c r="AA17" s="2" t="n">
        <v>3</v>
      </c>
      <c r="AB17" s="2" t="n">
        <v>2</v>
      </c>
      <c r="AC17" s="2" t="n">
        <v>1</v>
      </c>
      <c r="AD17" s="2" t="n">
        <v>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14</v>
      </c>
      <c r="U18" s="2" t="n">
        <v>1</v>
      </c>
      <c r="V18" s="2" t="n">
        <v>6</v>
      </c>
      <c r="W18" s="2" t="n">
        <v>5</v>
      </c>
      <c r="X18" s="2" t="n">
        <v>3</v>
      </c>
      <c r="Y18" s="2" t="n">
        <v>1</v>
      </c>
      <c r="Z18" s="2" t="n">
        <v>1</v>
      </c>
      <c r="AA18" s="2" t="n">
        <v>3</v>
      </c>
      <c r="AB18" s="2" t="n">
        <v>2</v>
      </c>
      <c r="AC18" s="2" t="n">
        <v>1</v>
      </c>
      <c r="AD18" s="2" t="n">
        <v>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>
        <v>1</v>
      </c>
      <c r="V19" s="2" t="n">
        <v>6</v>
      </c>
      <c r="W19" s="2" t="n">
        <v>5</v>
      </c>
      <c r="X19" s="2" t="n">
        <v>3</v>
      </c>
      <c r="Y19" s="2" t="n">
        <v>1</v>
      </c>
      <c r="Z19" s="2" t="n">
        <v>1</v>
      </c>
      <c r="AA19" s="2" t="n">
        <v>3</v>
      </c>
      <c r="AB19" s="2" t="n">
        <v>3</v>
      </c>
      <c r="AC19" s="2" t="n">
        <v>1</v>
      </c>
      <c r="AD19" s="2" t="n">
        <v>1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>
        <v>1</v>
      </c>
      <c r="V20" s="2" t="n">
        <v>6</v>
      </c>
      <c r="W20" s="2" t="n">
        <v>5</v>
      </c>
      <c r="X20" s="2" t="n">
        <v>3</v>
      </c>
      <c r="Y20" s="2" t="n">
        <v>1</v>
      </c>
      <c r="Z20" s="2" t="n">
        <v>1</v>
      </c>
      <c r="AA20" s="2" t="n">
        <v>3</v>
      </c>
      <c r="AB20" s="2" t="n">
        <v>3</v>
      </c>
      <c r="AC20" s="2" t="n">
        <v>1</v>
      </c>
      <c r="AD20" s="2" t="n">
        <v>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>
        <v>1</v>
      </c>
      <c r="V21" s="2" t="n">
        <v>7</v>
      </c>
      <c r="W21" s="2" t="n">
        <v>6</v>
      </c>
      <c r="X21" s="2" t="n">
        <v>3</v>
      </c>
      <c r="Y21" s="2" t="n">
        <v>1</v>
      </c>
      <c r="Z21" s="2" t="n">
        <v>1</v>
      </c>
      <c r="AA21" s="2" t="n">
        <v>3</v>
      </c>
      <c r="AB21" s="2" t="n">
        <v>3</v>
      </c>
      <c r="AC21" s="2" t="n">
        <v>1</v>
      </c>
      <c r="AD21" s="2" t="n">
        <v>1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>
        <v>1</v>
      </c>
      <c r="V22" s="2" t="n">
        <v>7</v>
      </c>
      <c r="W22" s="2" t="n">
        <v>6</v>
      </c>
      <c r="X22" s="2" t="n">
        <v>3</v>
      </c>
      <c r="Y22" s="2" t="n">
        <v>1</v>
      </c>
      <c r="Z22" s="2" t="n">
        <v>1</v>
      </c>
      <c r="AA22" s="2" t="n">
        <v>3</v>
      </c>
      <c r="AB22" s="2" t="n">
        <v>3</v>
      </c>
      <c r="AC22" s="2" t="n">
        <v>1</v>
      </c>
      <c r="AD22" s="2" t="n">
        <v>1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>
        <v>1</v>
      </c>
      <c r="V23" s="2" t="n">
        <v>7</v>
      </c>
      <c r="W23" s="2" t="n">
        <v>6</v>
      </c>
      <c r="X23" s="2" t="n">
        <v>3</v>
      </c>
      <c r="Y23" s="2" t="n">
        <v>1</v>
      </c>
      <c r="Z23" s="2" t="n">
        <v>1</v>
      </c>
      <c r="AA23" s="2" t="n">
        <v>3</v>
      </c>
      <c r="AB23" s="2" t="n">
        <v>3</v>
      </c>
      <c r="AC23" s="2" t="n">
        <v>1</v>
      </c>
      <c r="AD23" s="2" t="n">
        <v>1</v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>
        <v>1</v>
      </c>
      <c r="V24" s="2" t="n">
        <v>7</v>
      </c>
      <c r="W24" s="2" t="n">
        <v>6</v>
      </c>
      <c r="X24" s="2" t="n">
        <v>3</v>
      </c>
      <c r="Y24" s="2" t="n">
        <v>1</v>
      </c>
      <c r="Z24" s="2" t="n">
        <v>1</v>
      </c>
      <c r="AA24" s="2" t="n">
        <v>3</v>
      </c>
      <c r="AB24" s="2" t="n">
        <v>3</v>
      </c>
      <c r="AC24" s="2" t="n">
        <v>1</v>
      </c>
      <c r="AD24" s="2" t="n">
        <v>1</v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>
        <v>2</v>
      </c>
      <c r="V25" s="2" t="n">
        <v>8</v>
      </c>
      <c r="W25" s="2" t="n">
        <v>7</v>
      </c>
      <c r="X25" s="2" t="n">
        <v>3</v>
      </c>
      <c r="Y25" s="2" t="n">
        <v>1</v>
      </c>
      <c r="Z25" s="2" t="n">
        <v>1</v>
      </c>
      <c r="AA25" s="2" t="n">
        <v>3</v>
      </c>
      <c r="AB25" s="2" t="n">
        <v>3</v>
      </c>
      <c r="AC25" s="2" t="n">
        <v>1</v>
      </c>
      <c r="AD25" s="2" t="n">
        <v>1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>
        <v>2</v>
      </c>
      <c r="V26" s="2" t="n">
        <v>8</v>
      </c>
      <c r="W26" s="2" t="n">
        <v>7</v>
      </c>
      <c r="X26" s="2" t="n">
        <v>3</v>
      </c>
      <c r="Y26" s="2" t="n">
        <v>1</v>
      </c>
      <c r="Z26" s="2" t="n">
        <v>1</v>
      </c>
      <c r="AA26" s="2" t="n">
        <v>4</v>
      </c>
      <c r="AB26" s="2" t="n">
        <v>3</v>
      </c>
      <c r="AC26" s="2" t="n">
        <v>1</v>
      </c>
      <c r="AD26" s="2" t="n">
        <v>1</v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>
        <v>2</v>
      </c>
      <c r="V27" s="2" t="n">
        <v>8</v>
      </c>
      <c r="W27" s="2" t="n">
        <v>8</v>
      </c>
      <c r="X27" s="2" t="n">
        <v>3</v>
      </c>
      <c r="Y27" s="2" t="n">
        <v>1</v>
      </c>
      <c r="Z27" s="2" t="n">
        <v>1</v>
      </c>
      <c r="AA27" s="2" t="n">
        <v>4</v>
      </c>
      <c r="AB27" s="2" t="n">
        <v>3</v>
      </c>
      <c r="AC27" s="2" t="n">
        <v>1</v>
      </c>
      <c r="AD27" s="2" t="n">
        <v>1</v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>
        <v>3</v>
      </c>
      <c r="V28" s="2" t="n">
        <v>8</v>
      </c>
      <c r="W28" s="2" t="n">
        <v>8</v>
      </c>
      <c r="X28" s="2" t="n">
        <v>3</v>
      </c>
      <c r="Y28" s="2" t="n">
        <v>1</v>
      </c>
      <c r="Z28" s="2" t="n">
        <v>1</v>
      </c>
      <c r="AA28" s="2" t="n">
        <v>4</v>
      </c>
      <c r="AB28" s="2" t="n">
        <v>3</v>
      </c>
      <c r="AC28" s="2" t="n">
        <v>1</v>
      </c>
      <c r="AD28" s="2" t="n">
        <v>1</v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>
        <v>3</v>
      </c>
      <c r="V29" s="2" t="n">
        <v>8</v>
      </c>
      <c r="W29" s="2" t="n">
        <v>9</v>
      </c>
      <c r="X29" s="2" t="n">
        <v>3</v>
      </c>
      <c r="Y29" s="2" t="n">
        <v>1</v>
      </c>
      <c r="Z29" s="2" t="n">
        <v>1</v>
      </c>
      <c r="AA29" s="2" t="n">
        <v>4</v>
      </c>
      <c r="AB29" s="2" t="n">
        <v>3</v>
      </c>
      <c r="AC29" s="2" t="n">
        <v>1</v>
      </c>
      <c r="AD29" s="2" t="n">
        <v>1</v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>
        <v>4</v>
      </c>
      <c r="V30" s="2" t="n">
        <v>9</v>
      </c>
      <c r="W30" s="2" t="n">
        <v>10</v>
      </c>
      <c r="X30" s="2" t="n">
        <v>3</v>
      </c>
      <c r="Y30" s="2" t="n">
        <v>1</v>
      </c>
      <c r="Z30" s="2" t="n">
        <v>1</v>
      </c>
      <c r="AA30" s="2" t="n">
        <v>4</v>
      </c>
      <c r="AB30" s="2" t="n">
        <v>4</v>
      </c>
      <c r="AC30" s="2" t="n">
        <v>1</v>
      </c>
      <c r="AD30" s="2" t="n">
        <v>1</v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>
        <v>4</v>
      </c>
      <c r="V31" s="2" t="n">
        <v>9</v>
      </c>
      <c r="W31" s="2" t="n">
        <v>10</v>
      </c>
      <c r="X31" s="2" t="n">
        <v>3</v>
      </c>
      <c r="Y31" s="2" t="n">
        <v>1</v>
      </c>
      <c r="Z31" s="2" t="n">
        <v>1</v>
      </c>
      <c r="AA31" s="2" t="n">
        <v>4</v>
      </c>
      <c r="AB31" s="2" t="n">
        <v>4</v>
      </c>
      <c r="AC31" s="2" t="n">
        <v>1</v>
      </c>
      <c r="AD31" s="2" t="n">
        <v>1</v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>
        <v>9</v>
      </c>
      <c r="W32" s="2" t="n">
        <v>11</v>
      </c>
      <c r="X32" s="2" t="n">
        <v>3</v>
      </c>
      <c r="Y32" s="2" t="n">
        <v>1</v>
      </c>
      <c r="Z32" s="2" t="n">
        <v>1</v>
      </c>
      <c r="AA32" s="2" t="n">
        <v>4</v>
      </c>
      <c r="AB32" s="2" t="n">
        <v>4</v>
      </c>
      <c r="AC32" s="2" t="n">
        <v>1</v>
      </c>
      <c r="AD32" s="2" t="n">
        <v>1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11</v>
      </c>
      <c r="W33" s="2" t="n">
        <v>12</v>
      </c>
      <c r="X33" s="2" t="n">
        <v>3</v>
      </c>
      <c r="Y33" s="2" t="n">
        <v>1</v>
      </c>
      <c r="Z33" s="2" t="n">
        <v>1</v>
      </c>
      <c r="AA33" s="2" t="n">
        <v>4</v>
      </c>
      <c r="AB33" s="2" t="n">
        <v>4</v>
      </c>
      <c r="AC33" s="2" t="n">
        <v>1</v>
      </c>
      <c r="AD33" s="2" t="n">
        <v>1</v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>
        <v>13</v>
      </c>
      <c r="X34" s="2" t="n">
        <v>3</v>
      </c>
      <c r="Y34" s="2" t="n">
        <v>1</v>
      </c>
      <c r="Z34" s="2" t="n">
        <v>1</v>
      </c>
      <c r="AA34" s="2" t="n">
        <v>4</v>
      </c>
      <c r="AB34" s="2" t="n">
        <v>4</v>
      </c>
      <c r="AC34" s="2" t="n">
        <v>1</v>
      </c>
      <c r="AD34" s="2" t="n">
        <v>1</v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>
        <v>3</v>
      </c>
      <c r="Y35" s="2" t="n">
        <v>1</v>
      </c>
      <c r="Z35" s="2" t="n">
        <v>1</v>
      </c>
      <c r="AA35" s="2" t="n">
        <v>4</v>
      </c>
      <c r="AB35" s="2" t="n">
        <v>4</v>
      </c>
      <c r="AC35" s="2" t="n">
        <v>1</v>
      </c>
      <c r="AD35" s="2" t="n">
        <v>1</v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>
        <v>3</v>
      </c>
      <c r="Y36" s="2" t="n">
        <v>1</v>
      </c>
      <c r="Z36" s="2" t="n">
        <v>1</v>
      </c>
      <c r="AA36" s="2" t="n">
        <v>4</v>
      </c>
      <c r="AB36" s="2" t="n">
        <v>4</v>
      </c>
      <c r="AC36" s="2" t="n">
        <v>1</v>
      </c>
      <c r="AD36" s="2" t="n">
        <v>1</v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>
        <v>3</v>
      </c>
      <c r="Y37" s="2" t="n">
        <v>1</v>
      </c>
      <c r="Z37" s="2" t="n">
        <v>1</v>
      </c>
      <c r="AA37" s="2" t="n">
        <v>4</v>
      </c>
      <c r="AB37" s="2" t="n">
        <v>5</v>
      </c>
      <c r="AC37" s="2" t="n">
        <v>1</v>
      </c>
      <c r="AD37" s="2" t="n">
        <v>1</v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>
        <v>3</v>
      </c>
      <c r="Y38" s="2" t="n">
        <v>2</v>
      </c>
      <c r="Z38" s="2" t="n">
        <v>1</v>
      </c>
      <c r="AA38" s="2" t="n">
        <v>4</v>
      </c>
      <c r="AB38" s="2" t="n">
        <v>5</v>
      </c>
      <c r="AC38" s="2" t="n">
        <v>1</v>
      </c>
      <c r="AD38" s="2" t="n">
        <v>1</v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>
        <v>3</v>
      </c>
      <c r="Y39" s="2" t="n">
        <v>2</v>
      </c>
      <c r="Z39" s="2" t="n">
        <v>1</v>
      </c>
      <c r="AA39" s="2" t="n">
        <v>4</v>
      </c>
      <c r="AB39" s="2" t="n">
        <v>5</v>
      </c>
      <c r="AC39" s="2" t="n">
        <v>1</v>
      </c>
      <c r="AD39" s="2" t="n">
        <v>1</v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>
        <v>3</v>
      </c>
      <c r="Y40" s="2" t="n">
        <v>2</v>
      </c>
      <c r="Z40" s="2" t="n">
        <v>1</v>
      </c>
      <c r="AA40" s="2" t="n">
        <v>4</v>
      </c>
      <c r="AB40" s="2" t="n">
        <v>6</v>
      </c>
      <c r="AC40" s="2" t="n">
        <v>1</v>
      </c>
      <c r="AD40" s="2" t="n">
        <v>1</v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>
        <v>3</v>
      </c>
      <c r="Y41" s="2" t="n">
        <v>2</v>
      </c>
      <c r="Z41" s="2" t="n">
        <v>1</v>
      </c>
      <c r="AA41" s="2" t="n">
        <v>4</v>
      </c>
      <c r="AB41" s="2" t="n">
        <v>6</v>
      </c>
      <c r="AC41" s="2" t="n">
        <v>1</v>
      </c>
      <c r="AD41" s="2" t="n">
        <v>1</v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>
        <v>3</v>
      </c>
      <c r="Y42" s="2" t="n">
        <v>2</v>
      </c>
      <c r="Z42" s="2" t="n">
        <v>1</v>
      </c>
      <c r="AA42" s="2" t="n">
        <v>4</v>
      </c>
      <c r="AB42" s="2" t="n">
        <v>6</v>
      </c>
      <c r="AC42" s="2" t="n">
        <v>1</v>
      </c>
      <c r="AD42" s="2" t="n">
        <v>1</v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>
        <v>3</v>
      </c>
      <c r="Y43" s="2" t="n">
        <v>2</v>
      </c>
      <c r="Z43" s="2" t="n">
        <v>1</v>
      </c>
      <c r="AA43" s="2" t="n">
        <v>4</v>
      </c>
      <c r="AB43" s="2" t="n">
        <v>7</v>
      </c>
      <c r="AC43" s="2" t="n">
        <v>1</v>
      </c>
      <c r="AD43" s="2" t="n">
        <v>1</v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>
        <v>3</v>
      </c>
      <c r="Y44" s="2" t="n">
        <v>2</v>
      </c>
      <c r="Z44" s="2" t="n">
        <v>1</v>
      </c>
      <c r="AA44" s="2" t="n">
        <v>4</v>
      </c>
      <c r="AB44" s="2" t="n">
        <v>7</v>
      </c>
      <c r="AC44" s="2" t="n">
        <v>1</v>
      </c>
      <c r="AD44" s="2" t="n">
        <v>1</v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>
        <v>3</v>
      </c>
      <c r="Y45" s="2" t="n">
        <v>2</v>
      </c>
      <c r="Z45" s="2" t="n">
        <v>1</v>
      </c>
      <c r="AA45" s="2" t="n">
        <v>4</v>
      </c>
      <c r="AB45" s="2" t="n">
        <v>8</v>
      </c>
      <c r="AC45" s="2" t="n">
        <v>1</v>
      </c>
      <c r="AD45" s="2" t="n">
        <v>1</v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>
        <v>4</v>
      </c>
      <c r="Y46" s="2" t="n">
        <v>2</v>
      </c>
      <c r="Z46" s="2" t="n">
        <v>1</v>
      </c>
      <c r="AA46" s="2" t="n">
        <v>5</v>
      </c>
      <c r="AB46" s="2" t="n">
        <v>8</v>
      </c>
      <c r="AC46" s="2" t="n">
        <v>1</v>
      </c>
      <c r="AD46" s="2" t="n">
        <v>1</v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>
        <v>4</v>
      </c>
      <c r="Y47" s="2" t="n">
        <v>2</v>
      </c>
      <c r="Z47" s="2" t="n">
        <v>1</v>
      </c>
      <c r="AA47" s="2" t="n">
        <v>5</v>
      </c>
      <c r="AB47" s="2" t="n">
        <v>8</v>
      </c>
      <c r="AC47" s="2" t="n">
        <v>1</v>
      </c>
      <c r="AD47" s="2" t="n">
        <v>1</v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>
        <v>4</v>
      </c>
      <c r="Y48" s="2" t="n">
        <v>2</v>
      </c>
      <c r="Z48" s="2" t="n">
        <v>1</v>
      </c>
      <c r="AA48" s="2" t="n">
        <v>5</v>
      </c>
      <c r="AB48" s="2" t="n">
        <v>8</v>
      </c>
      <c r="AC48" s="2" t="n">
        <v>1</v>
      </c>
      <c r="AD48" s="2" t="n">
        <v>1</v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>
        <v>4</v>
      </c>
      <c r="Y49" s="2" t="n">
        <v>2</v>
      </c>
      <c r="Z49" s="2" t="n">
        <v>1</v>
      </c>
      <c r="AA49" s="2" t="n">
        <v>5</v>
      </c>
      <c r="AB49" s="2" t="n">
        <v>8</v>
      </c>
      <c r="AC49" s="2" t="n">
        <v>1</v>
      </c>
      <c r="AD49" s="2" t="n">
        <v>1</v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>
        <v>4</v>
      </c>
      <c r="Y50" s="2" t="n">
        <v>2</v>
      </c>
      <c r="Z50" s="2" t="n">
        <v>2</v>
      </c>
      <c r="AA50" s="2" t="n">
        <v>5</v>
      </c>
      <c r="AB50" s="2" t="n">
        <v>8</v>
      </c>
      <c r="AC50" s="2" t="n">
        <v>1</v>
      </c>
      <c r="AD50" s="2" t="n">
        <v>1</v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>
        <v>4</v>
      </c>
      <c r="Y51" s="2" t="n">
        <v>2</v>
      </c>
      <c r="Z51" s="2" t="n">
        <v>2</v>
      </c>
      <c r="AA51" s="2" t="n">
        <v>5</v>
      </c>
      <c r="AB51" s="2" t="n">
        <v>8</v>
      </c>
      <c r="AC51" s="2" t="n">
        <v>1</v>
      </c>
      <c r="AD51" s="2" t="n">
        <v>1</v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>
        <v>5</v>
      </c>
      <c r="Y52" s="2" t="n">
        <v>2</v>
      </c>
      <c r="Z52" s="2" t="n">
        <v>2</v>
      </c>
      <c r="AA52" s="2" t="n">
        <v>5</v>
      </c>
      <c r="AB52" s="2" t="n">
        <v>8</v>
      </c>
      <c r="AC52" s="2" t="n">
        <v>1</v>
      </c>
      <c r="AD52" s="2" t="n">
        <v>1</v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>
        <v>5</v>
      </c>
      <c r="Y53" s="2" t="n">
        <v>2</v>
      </c>
      <c r="Z53" s="2" t="n">
        <v>2</v>
      </c>
      <c r="AA53" s="2" t="n">
        <v>5</v>
      </c>
      <c r="AB53" s="2" t="n">
        <v>8</v>
      </c>
      <c r="AC53" s="2" t="n">
        <v>1</v>
      </c>
      <c r="AD53" s="2" t="n">
        <v>1</v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>
        <v>5</v>
      </c>
      <c r="Y54" s="2" t="n">
        <v>2</v>
      </c>
      <c r="Z54" s="2" t="n">
        <v>2</v>
      </c>
      <c r="AA54" s="2" t="n">
        <v>5</v>
      </c>
      <c r="AB54" s="2" t="n">
        <v>10</v>
      </c>
      <c r="AC54" s="2" t="n">
        <v>1</v>
      </c>
      <c r="AD54" s="2" t="n">
        <v>1</v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>
        <v>5</v>
      </c>
      <c r="Y55" s="2" t="n">
        <v>2</v>
      </c>
      <c r="Z55" s="2" t="n">
        <v>2</v>
      </c>
      <c r="AA55" s="2" t="n">
        <v>5</v>
      </c>
      <c r="AB55" s="2" t="n">
        <v>12</v>
      </c>
      <c r="AC55" s="2" t="n">
        <v>1</v>
      </c>
      <c r="AD55" s="2" t="n">
        <v>1</v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>
        <v>6</v>
      </c>
      <c r="Y56" s="2" t="n">
        <v>2</v>
      </c>
      <c r="Z56" s="2" t="n">
        <v>2</v>
      </c>
      <c r="AA56" s="2" t="n">
        <v>5</v>
      </c>
      <c r="AB56" s="2" t="n">
        <v>15</v>
      </c>
      <c r="AC56" s="2" t="n">
        <v>1</v>
      </c>
      <c r="AD56" s="2" t="n">
        <v>1</v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>
        <v>6</v>
      </c>
      <c r="Y57" s="2" t="n">
        <v>2</v>
      </c>
      <c r="Z57" s="2" t="n">
        <v>2</v>
      </c>
      <c r="AA57" s="2" t="n">
        <v>5</v>
      </c>
      <c r="AB57" s="2" t="n">
        <v>15</v>
      </c>
      <c r="AC57" s="2" t="n">
        <v>1</v>
      </c>
      <c r="AD57" s="2" t="n">
        <v>1</v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>
        <v>7</v>
      </c>
      <c r="Y58" s="2" t="n">
        <v>3</v>
      </c>
      <c r="Z58" s="2" t="n">
        <v>2</v>
      </c>
      <c r="AA58" s="2" t="n">
        <v>5</v>
      </c>
      <c r="AB58" s="2" t="n">
        <v>15</v>
      </c>
      <c r="AC58" s="2" t="n">
        <v>1</v>
      </c>
      <c r="AD58" s="2" t="n">
        <v>1</v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>
        <v>7</v>
      </c>
      <c r="Y59" s="2" t="n">
        <v>3</v>
      </c>
      <c r="Z59" s="2" t="n">
        <v>2</v>
      </c>
      <c r="AA59" s="2" t="n">
        <v>5</v>
      </c>
      <c r="AB59" s="2" t="n">
        <v>15</v>
      </c>
      <c r="AC59" s="2" t="n">
        <v>1</v>
      </c>
      <c r="AD59" s="2" t="n">
        <v>1</v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>
        <v>7</v>
      </c>
      <c r="Y60" s="2" t="n">
        <v>3</v>
      </c>
      <c r="Z60" s="2" t="n">
        <v>2</v>
      </c>
      <c r="AA60" s="2" t="n">
        <v>5</v>
      </c>
      <c r="AB60" s="2" t="n">
        <v>15</v>
      </c>
      <c r="AC60" s="2" t="n">
        <v>1</v>
      </c>
      <c r="AD60" s="2" t="n">
        <v>1</v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>
        <v>8</v>
      </c>
      <c r="Y61" s="2" t="n">
        <v>3</v>
      </c>
      <c r="Z61" s="2" t="n">
        <v>2</v>
      </c>
      <c r="AA61" s="2" t="n">
        <v>5</v>
      </c>
      <c r="AB61" s="2" t="n">
        <v>15</v>
      </c>
      <c r="AC61" s="2" t="n">
        <v>1</v>
      </c>
      <c r="AD61" s="2" t="n">
        <v>1</v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>
        <v>9</v>
      </c>
      <c r="Y62" s="2" t="n">
        <v>3</v>
      </c>
      <c r="Z62" s="2" t="n">
        <v>2</v>
      </c>
      <c r="AA62" s="2" t="n">
        <v>5</v>
      </c>
      <c r="AB62" s="2" t="n">
        <v>15</v>
      </c>
      <c r="AC62" s="2" t="n">
        <v>1</v>
      </c>
      <c r="AD62" s="2" t="n">
        <v>1</v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>
        <v>13</v>
      </c>
      <c r="Y63" s="2" t="n">
        <v>4</v>
      </c>
      <c r="Z63" s="2" t="n">
        <v>2</v>
      </c>
      <c r="AA63" s="2" t="n">
        <v>5</v>
      </c>
      <c r="AB63" s="2" t="n">
        <v>15</v>
      </c>
      <c r="AC63" s="2" t="n">
        <v>1</v>
      </c>
      <c r="AD63" s="2" t="n">
        <v>1</v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>
        <v>5</v>
      </c>
      <c r="Z64" s="2" t="n">
        <v>2</v>
      </c>
      <c r="AA64" s="2" t="n">
        <v>5</v>
      </c>
      <c r="AB64" s="2" t="n">
        <v>15</v>
      </c>
      <c r="AC64" s="2" t="n">
        <v>1</v>
      </c>
      <c r="AD64" s="2" t="n">
        <v>1</v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>
        <v>2</v>
      </c>
      <c r="AA65" s="2" t="n">
        <v>5</v>
      </c>
      <c r="AB65" s="2" t="n">
        <v>15</v>
      </c>
      <c r="AC65" s="2" t="n">
        <v>1</v>
      </c>
      <c r="AD65" s="2" t="n">
        <v>1</v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>
        <v>2</v>
      </c>
      <c r="AA66" s="2" t="n">
        <v>6</v>
      </c>
      <c r="AB66" s="2" t="n">
        <v>15</v>
      </c>
      <c r="AC66" s="2" t="n">
        <v>1</v>
      </c>
      <c r="AD66" s="2" t="n">
        <v>1</v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>
        <v>2</v>
      </c>
      <c r="AA67" s="2" t="n">
        <v>6</v>
      </c>
      <c r="AB67" s="2" t="n">
        <v>15</v>
      </c>
      <c r="AC67" s="2" t="n">
        <v>1</v>
      </c>
      <c r="AD67" s="2" t="n">
        <v>1</v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>
        <v>3</v>
      </c>
      <c r="AA68" s="2" t="n">
        <v>6</v>
      </c>
      <c r="AB68" s="2" t="n">
        <v>15</v>
      </c>
      <c r="AC68" s="2" t="n">
        <v>1</v>
      </c>
      <c r="AD68" s="2" t="n">
        <v>1</v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>
        <v>3</v>
      </c>
      <c r="AA69" s="2" t="n">
        <v>6</v>
      </c>
      <c r="AB69" s="2" t="n">
        <v>15</v>
      </c>
      <c r="AC69" s="2" t="n">
        <v>1</v>
      </c>
      <c r="AD69" s="2" t="n">
        <v>1</v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>
        <v>3</v>
      </c>
      <c r="AA70" s="2" t="n">
        <v>6</v>
      </c>
      <c r="AB70" s="2" t="n">
        <v>15</v>
      </c>
      <c r="AC70" s="2" t="n">
        <v>1</v>
      </c>
      <c r="AD70" s="2" t="n">
        <v>1</v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>
        <v>3</v>
      </c>
      <c r="AA71" s="2" t="n">
        <v>6</v>
      </c>
      <c r="AB71" s="2" t="n">
        <v>16</v>
      </c>
      <c r="AC71" s="2" t="n">
        <v>1</v>
      </c>
      <c r="AD71" s="2" t="n">
        <v>1</v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>
        <v>3</v>
      </c>
      <c r="AA72" s="2" t="n">
        <v>6</v>
      </c>
      <c r="AB72" s="2" t="n">
        <v>16</v>
      </c>
      <c r="AC72" s="2" t="n">
        <v>1</v>
      </c>
      <c r="AD72" s="2" t="n">
        <v>1</v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>
        <v>3</v>
      </c>
      <c r="AA73" s="2" t="n">
        <v>7</v>
      </c>
      <c r="AB73" s="2" t="n">
        <v>16</v>
      </c>
      <c r="AC73" s="2" t="n">
        <v>1</v>
      </c>
      <c r="AD73" s="2" t="n">
        <v>1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>
        <v>7</v>
      </c>
      <c r="AB74" s="2" t="n">
        <v>16</v>
      </c>
      <c r="AC74" s="2" t="n">
        <v>1</v>
      </c>
      <c r="AD74" s="2" t="n">
        <v>1</v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>
        <v>7</v>
      </c>
      <c r="AB75" s="2" t="n">
        <v>16</v>
      </c>
      <c r="AC75" s="2" t="n">
        <v>1</v>
      </c>
      <c r="AD75" s="2" t="n">
        <v>1</v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>
        <v>7</v>
      </c>
      <c r="AB76" s="2" t="n">
        <v>16</v>
      </c>
      <c r="AC76" s="2" t="n">
        <v>1</v>
      </c>
      <c r="AD76" s="2" t="n">
        <v>1</v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>
        <v>7</v>
      </c>
      <c r="AB77" s="2" t="n">
        <v>16</v>
      </c>
      <c r="AC77" s="2" t="n">
        <v>1</v>
      </c>
      <c r="AD77" s="2" t="n">
        <v>1</v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>
        <v>7</v>
      </c>
      <c r="AB78" s="2" t="n">
        <v>19</v>
      </c>
      <c r="AC78" s="2" t="n">
        <v>1</v>
      </c>
      <c r="AD78" s="2" t="n">
        <v>1</v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>
        <v>7</v>
      </c>
      <c r="AB79" s="2" t="n">
        <v>19</v>
      </c>
      <c r="AC79" s="2" t="n">
        <v>1</v>
      </c>
      <c r="AD79" s="2" t="n">
        <v>1</v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>
        <v>7</v>
      </c>
      <c r="AB80" s="2" t="n">
        <v>19</v>
      </c>
      <c r="AC80" s="2" t="n">
        <v>1</v>
      </c>
      <c r="AD80" s="2" t="n">
        <v>1</v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>
        <v>8</v>
      </c>
      <c r="AB81" s="2" t="n">
        <v>19</v>
      </c>
      <c r="AC81" s="2" t="n">
        <v>1</v>
      </c>
      <c r="AD81" s="2" t="n">
        <v>1</v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>
        <v>8</v>
      </c>
      <c r="AB82" s="2" t="n">
        <v>19</v>
      </c>
      <c r="AC82" s="2" t="n">
        <v>2</v>
      </c>
      <c r="AD82" s="2" t="n">
        <v>1</v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>
        <v>8</v>
      </c>
      <c r="AB83" s="2" t="n">
        <v>19</v>
      </c>
      <c r="AC83" s="2" t="n">
        <v>2</v>
      </c>
      <c r="AD83" s="2" t="n">
        <v>1</v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>
        <v>8</v>
      </c>
      <c r="AB84" s="2" t="n">
        <v>19</v>
      </c>
      <c r="AC84" s="2" t="n">
        <v>2</v>
      </c>
      <c r="AD84" s="2" t="n">
        <v>1</v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>
        <v>8</v>
      </c>
      <c r="AB85" s="2" t="n">
        <v>21</v>
      </c>
      <c r="AC85" s="2" t="n">
        <v>2</v>
      </c>
      <c r="AD85" s="2" t="n">
        <v>1</v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>
        <v>9</v>
      </c>
      <c r="AB86" s="2" t="n">
        <v>21</v>
      </c>
      <c r="AC86" s="2" t="n">
        <v>2</v>
      </c>
      <c r="AD86" s="2" t="n">
        <v>1</v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>
        <v>11</v>
      </c>
      <c r="AB87" s="2" t="n">
        <v>21</v>
      </c>
      <c r="AC87" s="2" t="n">
        <v>2</v>
      </c>
      <c r="AD87" s="2" t="n">
        <v>1</v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>
        <v>21</v>
      </c>
      <c r="AC88" s="2" t="n">
        <v>2</v>
      </c>
      <c r="AD88" s="2" t="n">
        <v>1</v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>
        <v>21</v>
      </c>
      <c r="AC89" s="2" t="n">
        <v>2</v>
      </c>
      <c r="AD89" s="2" t="n">
        <v>1</v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>
        <v>21</v>
      </c>
      <c r="AC90" s="2" t="n">
        <v>2</v>
      </c>
      <c r="AD90" s="2" t="n">
        <v>1</v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>
        <v>21</v>
      </c>
      <c r="AC91" s="2" t="n">
        <v>2</v>
      </c>
      <c r="AD91" s="2" t="n">
        <v>1</v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>
        <v>21</v>
      </c>
      <c r="AC92" s="2" t="n">
        <v>2</v>
      </c>
      <c r="AD92" s="2" t="n">
        <v>1</v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>
        <v>21</v>
      </c>
      <c r="AC93" s="2" t="n">
        <v>2</v>
      </c>
      <c r="AD93" s="2" t="n">
        <v>1</v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>
        <v>21</v>
      </c>
      <c r="AC94" s="2" t="n">
        <v>2</v>
      </c>
      <c r="AD94" s="2" t="n">
        <v>1</v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>
        <v>21</v>
      </c>
      <c r="AC95" s="2" t="n">
        <v>2</v>
      </c>
      <c r="AD95" s="2" t="n">
        <v>1</v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>
        <v>21</v>
      </c>
      <c r="AC96" s="2" t="n">
        <v>2</v>
      </c>
      <c r="AD96" s="2" t="n">
        <v>1</v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>
        <v>21</v>
      </c>
      <c r="AC97" s="2" t="n">
        <v>2</v>
      </c>
      <c r="AD97" s="2" t="n">
        <v>1</v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>
        <v>21</v>
      </c>
      <c r="AC98" s="2" t="n">
        <v>2</v>
      </c>
      <c r="AD98" s="2" t="n">
        <v>1</v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>
        <v>21</v>
      </c>
      <c r="AC99" s="2" t="n">
        <v>2</v>
      </c>
      <c r="AD99" s="2" t="n">
        <v>1</v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>
        <v>21</v>
      </c>
      <c r="AC100" s="2" t="n">
        <v>2</v>
      </c>
      <c r="AD100" s="2" t="n">
        <v>1</v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>
        <v>21</v>
      </c>
      <c r="AC101" s="2" t="n">
        <v>2</v>
      </c>
      <c r="AD101" s="2" t="n">
        <v>1</v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>
        <v>21</v>
      </c>
      <c r="AC102" s="2" t="n">
        <v>2</v>
      </c>
      <c r="AD102" s="2" t="n">
        <v>1</v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>
        <v>21</v>
      </c>
      <c r="AC103" s="2" t="n">
        <v>2</v>
      </c>
      <c r="AD103" s="2" t="n">
        <v>1</v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>
        <v>21</v>
      </c>
      <c r="AC104" s="2" t="n">
        <v>2</v>
      </c>
      <c r="AD104" s="2" t="n">
        <v>1</v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>
        <v>21</v>
      </c>
      <c r="AC105" s="2" t="n">
        <v>2</v>
      </c>
      <c r="AD105" s="2" t="n">
        <v>1</v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>
        <v>21</v>
      </c>
      <c r="AC106" s="2" t="n">
        <v>2</v>
      </c>
      <c r="AD106" s="2" t="n">
        <v>1</v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>
        <v>24</v>
      </c>
      <c r="AC107" s="2" t="n">
        <v>2</v>
      </c>
      <c r="AD107" s="2" t="n">
        <v>1</v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>
        <v>24</v>
      </c>
      <c r="AC108" s="2" t="n">
        <v>2</v>
      </c>
      <c r="AD108" s="2" t="n">
        <v>2</v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>
        <v>24</v>
      </c>
      <c r="AC109" s="2" t="n">
        <v>2</v>
      </c>
      <c r="AD109" s="2" t="n">
        <v>2</v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>
        <v>24</v>
      </c>
      <c r="AC110" s="2" t="n">
        <v>2</v>
      </c>
      <c r="AD110" s="2" t="n">
        <v>2</v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>
        <v>24</v>
      </c>
      <c r="AC111" s="2" t="n">
        <v>2</v>
      </c>
      <c r="AD111" s="2" t="n">
        <v>2</v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>
        <v>24</v>
      </c>
      <c r="AC112" s="2" t="n">
        <v>2</v>
      </c>
      <c r="AD112" s="2" t="n">
        <v>2</v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>
        <v>24</v>
      </c>
      <c r="AC113" s="2" t="n">
        <v>2</v>
      </c>
      <c r="AD113" s="2" t="n">
        <v>2</v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>
        <v>24</v>
      </c>
      <c r="AC114" s="2" t="n">
        <v>2</v>
      </c>
      <c r="AD114" s="2" t="n">
        <v>2</v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>
        <v>25</v>
      </c>
      <c r="AC115" s="2" t="n">
        <v>2</v>
      </c>
      <c r="AD115" s="2" t="n">
        <v>2</v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>
        <v>25</v>
      </c>
      <c r="AC116" s="2" t="n">
        <v>3</v>
      </c>
      <c r="AD116" s="2" t="n">
        <v>2</v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>
        <v>25</v>
      </c>
      <c r="AC117" s="2" t="n">
        <v>3</v>
      </c>
      <c r="AD117" s="2" t="n">
        <v>2</v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>
        <v>25</v>
      </c>
      <c r="AC118" s="2" t="n">
        <v>3</v>
      </c>
      <c r="AD118" s="2" t="n">
        <v>2</v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>
        <v>25</v>
      </c>
      <c r="AC119" s="2" t="n">
        <v>3</v>
      </c>
      <c r="AD119" s="2" t="n">
        <v>2</v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>
        <v>25</v>
      </c>
      <c r="AC120" s="2" t="n">
        <v>3</v>
      </c>
      <c r="AD120" s="2" t="n">
        <v>2</v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>
        <v>25</v>
      </c>
      <c r="AC121" s="2" t="n">
        <v>3</v>
      </c>
      <c r="AD121" s="2" t="n">
        <v>2</v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>
        <v>25</v>
      </c>
      <c r="AC122" s="2" t="n">
        <v>3</v>
      </c>
      <c r="AD122" s="2" t="n">
        <v>2</v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>
        <v>3</v>
      </c>
      <c r="AD123" s="2" t="n">
        <v>2</v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>
        <v>3</v>
      </c>
      <c r="AD124" s="2" t="n">
        <v>2</v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>
        <v>3</v>
      </c>
      <c r="AD125" s="2" t="n">
        <v>2</v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>
        <v>3</v>
      </c>
      <c r="AD126" s="2" t="n">
        <v>2</v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>
        <v>3</v>
      </c>
      <c r="AD127" s="2" t="n">
        <v>2</v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>
        <v>2</v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>
        <v>2</v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>
        <v>2</v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>
        <v>2</v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>
        <v>2</v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>
        <v>2</v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>
        <v>2</v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>
        <v>2</v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>
        <v>2</v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>
        <v>2</v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>
        <v>2</v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>
        <v>2</v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>
        <v>2</v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>
        <v>2</v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>
        <v>2</v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>
        <v>2</v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>
        <v>2</v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>
        <v>2</v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>
        <v>2</v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>
        <v>2</v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>
        <v>2</v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>
        <v>2</v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>
        <v>2</v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>
        <v>2</v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>
        <v>2</v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>
        <v>2</v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>
        <v>2</v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>
        <v>2</v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>
        <v>2</v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>
        <v>2</v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>
        <v>2</v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>
        <v>2</v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>
        <v>2</v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>
        <v>2</v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>
        <v>2</v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>
        <v>2</v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>
        <v>2</v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>
        <v>2</v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>
        <v>2</v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>
        <v>2</v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>
        <v>2</v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>
        <v>2</v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>
        <v>2</v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>
        <v>2</v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>
        <v>2</v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>
        <v>2</v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>
        <v>3</v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>
        <v>3</v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>
        <v>3</v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>
        <v>3</v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>
        <v>3</v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>
        <v>3</v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>
        <v>3</v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>
        <v>3</v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>
        <v>3</v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>
        <v>3</v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>
        <v>3</v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>
        <v>3</v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>
        <v>3</v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>
        <v>3</v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>
        <v>3</v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>
        <v>3</v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>
        <v>3</v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>
        <v>3</v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>
        <v>3</v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>
        <v>3</v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>
        <v>3</v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>
        <v>3</v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>
        <v>3</v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>
        <v>3</v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>
        <v>4</v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>
        <v>4</v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>
        <v>4</v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>
        <v>4</v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>
        <v>4</v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>
        <v>4</v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>
        <v>4</v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>
        <v>4</v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>
        <v>4</v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>
        <v>5</v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>
        <v>5</v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>
        <v>5</v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>
        <v>5</v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>
        <v>5</v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>
        <v>5</v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>
        <v>6</v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>
        <v>6</v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5"/>
  <sheetViews>
    <sheetView workbookViewId="0">
      <selection activeCell="A1" sqref="A1"/>
    </sheetView>
  </sheetViews>
  <sheetFormatPr baseColWidth="8" defaultRowHeight="15"/>
  <sheetData>
    <row r="1">
      <c r="A1" s="1" t="n">
        <v>61903</v>
      </c>
      <c r="B1" s="1" t="n">
        <v>388620</v>
      </c>
      <c r="C1" s="1" t="n">
        <v>362466</v>
      </c>
      <c r="D1" s="1" t="n">
        <v>390554</v>
      </c>
      <c r="E1" s="1" t="n">
        <v>392233</v>
      </c>
      <c r="F1" s="1" t="n">
        <v>184418</v>
      </c>
      <c r="G1" s="1" t="n">
        <v>286158</v>
      </c>
      <c r="H1" s="1" t="n">
        <v>60522</v>
      </c>
      <c r="I1" s="1" t="n">
        <v>385674</v>
      </c>
      <c r="J1" s="1" t="n">
        <v>390914</v>
      </c>
      <c r="K1" s="1" t="n">
        <v>61853</v>
      </c>
      <c r="L1" s="1" t="n">
        <v>391873</v>
      </c>
      <c r="M1" s="1" t="n">
        <v>184824</v>
      </c>
      <c r="N1" s="1" t="n">
        <v>2453</v>
      </c>
      <c r="O1" s="1" t="n">
        <v>369538</v>
      </c>
      <c r="P1" s="1" t="n">
        <v>367431</v>
      </c>
      <c r="Q1" s="1" t="n">
        <v>211221</v>
      </c>
      <c r="R1" s="1" t="n">
        <v>60267</v>
      </c>
      <c r="S1" s="1" t="n">
        <v>380409</v>
      </c>
      <c r="T1" s="1" t="n">
        <v>59202</v>
      </c>
      <c r="U1" s="1" t="n">
        <v>178724</v>
      </c>
      <c r="V1" s="1" t="n">
        <v>329939</v>
      </c>
      <c r="W1" s="1" t="n">
        <v>385153</v>
      </c>
      <c r="X1" s="1" t="n">
        <v>151276</v>
      </c>
      <c r="Y1" s="1" t="n">
        <v>64564</v>
      </c>
      <c r="Z1" s="1" t="n">
        <v>65085</v>
      </c>
      <c r="AA1" s="1" t="n">
        <v>259255</v>
      </c>
      <c r="AB1" s="1" t="n">
        <v>2675</v>
      </c>
      <c r="AC1" s="1" t="n">
        <v>385506</v>
      </c>
      <c r="AD1" s="1" t="n">
        <v>134565</v>
      </c>
    </row>
    <row r="2">
      <c r="A2" s="2" t="inlineStr">
        <is>
          <t>LIMA</t>
        </is>
      </c>
      <c r="B2" s="2" t="inlineStr">
        <is>
          <t>LIMA</t>
        </is>
      </c>
      <c r="C2" s="2" t="inlineStr">
        <is>
          <t>CUSCO</t>
        </is>
      </c>
      <c r="D2" s="2" t="inlineStr">
        <is>
          <t>LIMA</t>
        </is>
      </c>
      <c r="E2" s="2" t="inlineStr">
        <is>
          <t>ANCASH</t>
        </is>
      </c>
      <c r="F2" s="2" t="inlineStr">
        <is>
          <t>LIMA</t>
        </is>
      </c>
      <c r="G2" s="2" t="inlineStr">
        <is>
          <t>LIMA</t>
        </is>
      </c>
      <c r="H2" s="2" t="inlineStr">
        <is>
          <t>LIMA</t>
        </is>
      </c>
      <c r="I2" s="2" t="inlineStr">
        <is>
          <t>LIMA</t>
        </is>
      </c>
      <c r="J2" s="2" t="inlineStr">
        <is>
          <t>HUANCAVELICA</t>
        </is>
      </c>
      <c r="K2" s="2" t="inlineStr">
        <is>
          <t>LIMA</t>
        </is>
      </c>
      <c r="L2" s="2" t="inlineStr">
        <is>
          <t>CUSCO</t>
        </is>
      </c>
      <c r="M2" s="2" t="inlineStr">
        <is>
          <t>MOQUEGUA</t>
        </is>
      </c>
      <c r="N2" s="2" t="inlineStr">
        <is>
          <t>CUSCO</t>
        </is>
      </c>
      <c r="O2" s="2" t="inlineStr">
        <is>
          <t>LIMA</t>
        </is>
      </c>
      <c r="P2" s="2" t="inlineStr">
        <is>
          <t>TUMBES</t>
        </is>
      </c>
      <c r="Q2" s="2" t="inlineStr">
        <is>
          <t>CUSCO</t>
        </is>
      </c>
      <c r="R2" s="2" t="inlineStr">
        <is>
          <t>LIMA</t>
        </is>
      </c>
      <c r="S2" s="2" t="inlineStr">
        <is>
          <t>CUSCO</t>
        </is>
      </c>
      <c r="T2" s="2" t="inlineStr">
        <is>
          <t>LIMA</t>
        </is>
      </c>
      <c r="U2" s="2" t="inlineStr">
        <is>
          <t>JUNIN</t>
        </is>
      </c>
      <c r="V2" s="2" t="inlineStr">
        <is>
          <t>AREQUIPA</t>
        </is>
      </c>
      <c r="W2" s="2" t="inlineStr">
        <is>
          <t>LIMA</t>
        </is>
      </c>
      <c r="X2" s="2" t="inlineStr">
        <is>
          <t>APURIMAC</t>
        </is>
      </c>
      <c r="Y2" s="2" t="inlineStr">
        <is>
          <t>PASCO</t>
        </is>
      </c>
      <c r="Z2" s="2" t="inlineStr">
        <is>
          <t>AREQUIPA</t>
        </is>
      </c>
      <c r="AA2" s="2" t="inlineStr">
        <is>
          <t>LA LIBERTAD</t>
        </is>
      </c>
      <c r="AB2" s="2" t="inlineStr">
        <is>
          <t>AYACUCHO</t>
        </is>
      </c>
      <c r="AC2" s="2" t="inlineStr">
        <is>
          <t>PUNO</t>
        </is>
      </c>
      <c r="AD2" s="2" t="inlineStr">
        <is>
          <t>CAJAMARCA</t>
        </is>
      </c>
    </row>
    <row r="3">
      <c r="A3" s="2" t="inlineStr">
        <is>
          <t>LIMA</t>
        </is>
      </c>
      <c r="B3" s="2" t="inlineStr">
        <is>
          <t>SAN MARTIN</t>
        </is>
      </c>
      <c r="C3" s="2" t="inlineStr">
        <is>
          <t>CUSCO</t>
        </is>
      </c>
      <c r="D3" s="2" t="inlineStr">
        <is>
          <t>CUSCO</t>
        </is>
      </c>
      <c r="E3" s="2" t="inlineStr">
        <is>
          <t>ANCASH</t>
        </is>
      </c>
      <c r="F3" s="2" t="inlineStr">
        <is>
          <t>APURIMAC</t>
        </is>
      </c>
      <c r="G3" s="2" t="inlineStr">
        <is>
          <t>HUANUCO</t>
        </is>
      </c>
      <c r="H3" s="2" t="inlineStr">
        <is>
          <t>LIMA</t>
        </is>
      </c>
      <c r="I3" s="2" t="inlineStr">
        <is>
          <t>ANCASH</t>
        </is>
      </c>
      <c r="J3" s="2" t="inlineStr">
        <is>
          <t>HUANCAVELICA</t>
        </is>
      </c>
      <c r="K3" s="2" t="inlineStr">
        <is>
          <t>LIMA</t>
        </is>
      </c>
      <c r="L3" s="2" t="inlineStr">
        <is>
          <t>LIMA</t>
        </is>
      </c>
      <c r="M3" s="2" t="inlineStr">
        <is>
          <t>LIMA</t>
        </is>
      </c>
      <c r="N3" s="2" t="inlineStr">
        <is>
          <t>UCAYALI</t>
        </is>
      </c>
      <c r="O3" s="2" t="inlineStr">
        <is>
          <t>LIMA</t>
        </is>
      </c>
      <c r="P3" s="2" t="inlineStr">
        <is>
          <t>APURIMAC</t>
        </is>
      </c>
      <c r="Q3" s="2" t="inlineStr">
        <is>
          <t>APURIMAC</t>
        </is>
      </c>
      <c r="R3" s="2" t="inlineStr">
        <is>
          <t>LIMA</t>
        </is>
      </c>
      <c r="S3" s="2" t="inlineStr">
        <is>
          <t>TACNA</t>
        </is>
      </c>
      <c r="T3" s="2" t="inlineStr">
        <is>
          <t>CALLAO</t>
        </is>
      </c>
      <c r="U3" s="2" t="inlineStr">
        <is>
          <t>ICA</t>
        </is>
      </c>
      <c r="V3" s="2" t="inlineStr">
        <is>
          <t>CUSCO</t>
        </is>
      </c>
      <c r="W3" s="2" t="inlineStr">
        <is>
          <t>LIMA</t>
        </is>
      </c>
      <c r="X3" s="2" t="inlineStr">
        <is>
          <t>APURIMAC</t>
        </is>
      </c>
      <c r="Y3" s="2" t="inlineStr">
        <is>
          <t>CUSCO</t>
        </is>
      </c>
      <c r="Z3" s="2" t="inlineStr">
        <is>
          <t>JUNIN</t>
        </is>
      </c>
      <c r="AA3" s="2" t="inlineStr">
        <is>
          <t>LA LIBERTAD</t>
        </is>
      </c>
      <c r="AB3" s="2" t="inlineStr">
        <is>
          <t>AYACUCHO</t>
        </is>
      </c>
      <c r="AC3" s="2" t="inlineStr">
        <is>
          <t>PUNO</t>
        </is>
      </c>
      <c r="AD3" s="2" t="inlineStr">
        <is>
          <t>CAJAMARCA</t>
        </is>
      </c>
    </row>
    <row r="4">
      <c r="A4" s="2" t="inlineStr">
        <is>
          <t>LIMA</t>
        </is>
      </c>
      <c r="B4" s="2" t="inlineStr">
        <is>
          <t>LIMA</t>
        </is>
      </c>
      <c r="C4" s="2" t="inlineStr">
        <is>
          <t>JUNIN</t>
        </is>
      </c>
      <c r="D4" s="2" t="inlineStr">
        <is>
          <t>SAN MARTIN</t>
        </is>
      </c>
      <c r="E4" s="2" t="inlineStr">
        <is>
          <t>PASCO</t>
        </is>
      </c>
      <c r="F4" s="2" t="inlineStr">
        <is>
          <t>LIMA</t>
        </is>
      </c>
      <c r="G4" s="2" t="inlineStr">
        <is>
          <t>MADRE DE DIOS</t>
        </is>
      </c>
      <c r="H4" s="2" t="inlineStr">
        <is>
          <t>LIMA</t>
        </is>
      </c>
      <c r="I4" s="2" t="inlineStr">
        <is>
          <t>LIMA</t>
        </is>
      </c>
      <c r="J4" s="2" t="inlineStr">
        <is>
          <t>PUNO</t>
        </is>
      </c>
      <c r="K4" s="2" t="inlineStr">
        <is>
          <t>LIMA</t>
        </is>
      </c>
      <c r="L4" s="2" t="inlineStr">
        <is>
          <t>MOQUEGUA</t>
        </is>
      </c>
      <c r="M4" s="2" t="inlineStr">
        <is>
          <t>CUSCO</t>
        </is>
      </c>
      <c r="N4" s="2" t="inlineStr">
        <is>
          <t>SAN MARTIN</t>
        </is>
      </c>
      <c r="O4" s="2" t="inlineStr">
        <is>
          <t>LIMA</t>
        </is>
      </c>
      <c r="P4" s="2" t="inlineStr">
        <is>
          <t>LIMA</t>
        </is>
      </c>
      <c r="Q4" s="2" t="inlineStr">
        <is>
          <t>CUSCO</t>
        </is>
      </c>
      <c r="R4" s="2" t="inlineStr">
        <is>
          <t>JUNIN</t>
        </is>
      </c>
      <c r="S4" s="2" t="inlineStr">
        <is>
          <t>LIMA</t>
        </is>
      </c>
      <c r="T4" s="2" t="inlineStr">
        <is>
          <t>PIURA</t>
        </is>
      </c>
      <c r="U4" s="2" t="inlineStr">
        <is>
          <t>LIMA</t>
        </is>
      </c>
      <c r="V4" s="2" t="inlineStr">
        <is>
          <t>CUSCO</t>
        </is>
      </c>
      <c r="W4" s="2" t="inlineStr">
        <is>
          <t>LIMA</t>
        </is>
      </c>
      <c r="X4" s="2" t="inlineStr">
        <is>
          <t>CUSCO</t>
        </is>
      </c>
      <c r="Y4" s="2" t="inlineStr">
        <is>
          <t>PUNO</t>
        </is>
      </c>
      <c r="Z4" s="2" t="inlineStr">
        <is>
          <t>ICA</t>
        </is>
      </c>
      <c r="AA4" s="2" t="inlineStr">
        <is>
          <t>CAJAMARCA</t>
        </is>
      </c>
      <c r="AB4" s="2" t="inlineStr">
        <is>
          <t>HUANCAVELICA</t>
        </is>
      </c>
      <c r="AC4" s="2" t="inlineStr">
        <is>
          <t>JUNIN</t>
        </is>
      </c>
      <c r="AD4" s="2" t="inlineStr">
        <is>
          <t>CAJAMARCA</t>
        </is>
      </c>
    </row>
    <row r="5">
      <c r="A5" s="2" t="inlineStr">
        <is>
          <t>LIMA</t>
        </is>
      </c>
      <c r="B5" s="2" t="inlineStr">
        <is>
          <t>LIMA</t>
        </is>
      </c>
      <c r="C5" s="2" t="inlineStr">
        <is>
          <t>CUSCO</t>
        </is>
      </c>
      <c r="D5" s="2" t="inlineStr">
        <is>
          <t>CUSCO</t>
        </is>
      </c>
      <c r="E5" s="2" t="inlineStr">
        <is>
          <t>ANCASH</t>
        </is>
      </c>
      <c r="F5" s="2" t="inlineStr">
        <is>
          <t>LA LIBERTAD</t>
        </is>
      </c>
      <c r="G5" s="2" t="inlineStr">
        <is>
          <t>LIMA</t>
        </is>
      </c>
      <c r="H5" s="2" t="inlineStr">
        <is>
          <t>LIMA</t>
        </is>
      </c>
      <c r="I5" s="2" t="inlineStr">
        <is>
          <t>LIMA</t>
        </is>
      </c>
      <c r="J5" s="2" t="inlineStr">
        <is>
          <t>AREQUIPA</t>
        </is>
      </c>
      <c r="K5" s="2" t="inlineStr">
        <is>
          <t>LA LIBERTAD</t>
        </is>
      </c>
      <c r="L5" s="2" t="inlineStr">
        <is>
          <t>LA LIBERTAD</t>
        </is>
      </c>
      <c r="M5" s="2" t="inlineStr">
        <is>
          <t>LIMA</t>
        </is>
      </c>
      <c r="N5" s="2" t="inlineStr">
        <is>
          <t>SAN MARTIN</t>
        </is>
      </c>
      <c r="O5" s="2" t="inlineStr">
        <is>
          <t>LIMA</t>
        </is>
      </c>
      <c r="P5" s="2" t="inlineStr">
        <is>
          <t>LIMA</t>
        </is>
      </c>
      <c r="Q5" s="2" t="inlineStr">
        <is>
          <t>APURIMAC</t>
        </is>
      </c>
      <c r="R5" s="2" t="inlineStr">
        <is>
          <t>CAJAMARCA</t>
        </is>
      </c>
      <c r="S5" s="2" t="inlineStr">
        <is>
          <t>TACNA</t>
        </is>
      </c>
      <c r="T5" s="2" t="inlineStr">
        <is>
          <t>SAN MARTIN</t>
        </is>
      </c>
      <c r="U5" s="2" t="inlineStr">
        <is>
          <t>LIMA</t>
        </is>
      </c>
      <c r="V5" s="2" t="inlineStr">
        <is>
          <t>LAMBAYEQUE</t>
        </is>
      </c>
      <c r="W5" s="2" t="inlineStr">
        <is>
          <t>LA LIBERTAD</t>
        </is>
      </c>
      <c r="X5" s="2" t="inlineStr">
        <is>
          <t>CUSCO</t>
        </is>
      </c>
      <c r="Y5" s="2" t="inlineStr">
        <is>
          <t>JUNIN</t>
        </is>
      </c>
      <c r="Z5" s="2" t="inlineStr">
        <is>
          <t>CALLAO</t>
        </is>
      </c>
      <c r="AA5" s="2" t="inlineStr">
        <is>
          <t>LAMBAYEQUE</t>
        </is>
      </c>
      <c r="AB5" s="2" t="inlineStr">
        <is>
          <t>HUANCAVELICA</t>
        </is>
      </c>
      <c r="AC5" s="2" t="inlineStr">
        <is>
          <t>CUSCO</t>
        </is>
      </c>
      <c r="AD5" s="2" t="inlineStr">
        <is>
          <t>AYACUCHO</t>
        </is>
      </c>
    </row>
    <row r="6">
      <c r="A6" s="2" t="inlineStr">
        <is>
          <t>LIMA</t>
        </is>
      </c>
      <c r="B6" s="2" t="inlineStr">
        <is>
          <t>CALLAO</t>
        </is>
      </c>
      <c r="C6" s="2" t="inlineStr">
        <is>
          <t>AREQUIPA</t>
        </is>
      </c>
      <c r="D6" s="2" t="inlineStr">
        <is>
          <t>ANCASH</t>
        </is>
      </c>
      <c r="E6" s="2" t="inlineStr">
        <is>
          <t>PASCO</t>
        </is>
      </c>
      <c r="F6" s="2" t="inlineStr">
        <is>
          <t>CAJAMARCA</t>
        </is>
      </c>
      <c r="G6" s="2" t="inlineStr">
        <is>
          <t>APURIMAC</t>
        </is>
      </c>
      <c r="H6" s="2" t="inlineStr">
        <is>
          <t>LIMA</t>
        </is>
      </c>
      <c r="I6" s="2" t="inlineStr">
        <is>
          <t>TACNA</t>
        </is>
      </c>
      <c r="J6" s="2" t="inlineStr">
        <is>
          <t>UCAYALI</t>
        </is>
      </c>
      <c r="K6" s="2" t="inlineStr">
        <is>
          <t>LIMA</t>
        </is>
      </c>
      <c r="L6" s="2" t="inlineStr">
        <is>
          <t>TACNA</t>
        </is>
      </c>
      <c r="M6" s="2" t="inlineStr">
        <is>
          <t>LIMA</t>
        </is>
      </c>
      <c r="N6" s="2" t="inlineStr">
        <is>
          <t>CUSCO</t>
        </is>
      </c>
      <c r="O6" s="2" t="inlineStr">
        <is>
          <t>LIMA</t>
        </is>
      </c>
      <c r="P6" s="2" t="inlineStr">
        <is>
          <t>LIMA</t>
        </is>
      </c>
      <c r="Q6" s="2" t="inlineStr">
        <is>
          <t>CUSCO</t>
        </is>
      </c>
      <c r="R6" s="2" t="inlineStr">
        <is>
          <t>ICA</t>
        </is>
      </c>
      <c r="S6" s="2" t="inlineStr">
        <is>
          <t>LIMA</t>
        </is>
      </c>
      <c r="T6" s="2" t="inlineStr">
        <is>
          <t>LAMBAYEQUE</t>
        </is>
      </c>
      <c r="U6" s="2" t="inlineStr">
        <is>
          <t>LIMA</t>
        </is>
      </c>
      <c r="V6" s="2" t="inlineStr">
        <is>
          <t>LAMBAYEQUE</t>
        </is>
      </c>
      <c r="W6" s="2" t="inlineStr">
        <is>
          <t>LIMA</t>
        </is>
      </c>
      <c r="X6" s="2" t="inlineStr">
        <is>
          <t>PUNO</t>
        </is>
      </c>
      <c r="Y6" s="2" t="inlineStr">
        <is>
          <t>HUANUCO</t>
        </is>
      </c>
      <c r="Z6" s="2" t="inlineStr">
        <is>
          <t>ANCASH</t>
        </is>
      </c>
      <c r="AA6" s="2" t="inlineStr">
        <is>
          <t>AREQUIPA</t>
        </is>
      </c>
      <c r="AB6" s="2" t="inlineStr">
        <is>
          <t>HUANCAVELICA</t>
        </is>
      </c>
      <c r="AC6" s="2" t="inlineStr">
        <is>
          <t>MADRE DE DIOS</t>
        </is>
      </c>
      <c r="AD6" s="2" t="inlineStr">
        <is>
          <t>AYACUCHO</t>
        </is>
      </c>
    </row>
    <row r="7">
      <c r="A7" s="2" t="n"/>
      <c r="B7" s="2" t="n"/>
      <c r="C7" s="2" t="n"/>
      <c r="D7" s="2" t="n"/>
      <c r="E7" s="2" t="inlineStr">
        <is>
          <t>ANCASH</t>
        </is>
      </c>
      <c r="F7" s="2" t="inlineStr">
        <is>
          <t>AREQUIPA</t>
        </is>
      </c>
      <c r="G7" s="2" t="inlineStr">
        <is>
          <t>LIMA</t>
        </is>
      </c>
      <c r="H7" s="2" t="inlineStr">
        <is>
          <t>LIMA</t>
        </is>
      </c>
      <c r="I7" s="2" t="inlineStr">
        <is>
          <t>AREQUIPA</t>
        </is>
      </c>
      <c r="J7" s="2" t="inlineStr">
        <is>
          <t>AREQUIPA</t>
        </is>
      </c>
      <c r="K7" s="2" t="inlineStr">
        <is>
          <t>LIMA</t>
        </is>
      </c>
      <c r="L7" s="2" t="inlineStr">
        <is>
          <t>CUSCO</t>
        </is>
      </c>
      <c r="M7" s="2" t="inlineStr">
        <is>
          <t>LIMA</t>
        </is>
      </c>
      <c r="N7" s="2" t="inlineStr">
        <is>
          <t>CUSCO</t>
        </is>
      </c>
      <c r="O7" s="2" t="inlineStr">
        <is>
          <t>LIMA</t>
        </is>
      </c>
      <c r="P7" s="2" t="inlineStr">
        <is>
          <t>LIMA</t>
        </is>
      </c>
      <c r="Q7" s="2" t="inlineStr">
        <is>
          <t>CUSCO</t>
        </is>
      </c>
      <c r="R7" s="2" t="inlineStr">
        <is>
          <t>LIMA</t>
        </is>
      </c>
      <c r="S7" s="2" t="inlineStr">
        <is>
          <t>SAN MARTIN</t>
        </is>
      </c>
      <c r="T7" s="2" t="inlineStr">
        <is>
          <t>CUSCO</t>
        </is>
      </c>
      <c r="U7" s="2" t="inlineStr">
        <is>
          <t>LIMA</t>
        </is>
      </c>
      <c r="V7" s="2" t="inlineStr">
        <is>
          <t>LORETO</t>
        </is>
      </c>
      <c r="W7" s="2" t="inlineStr">
        <is>
          <t>LIMA</t>
        </is>
      </c>
      <c r="X7" s="2" t="inlineStr">
        <is>
          <t>PUNO</t>
        </is>
      </c>
      <c r="Y7" s="2" t="inlineStr">
        <is>
          <t>LA LIBERTAD</t>
        </is>
      </c>
      <c r="Z7" s="2" t="inlineStr">
        <is>
          <t>JUNIN</t>
        </is>
      </c>
      <c r="AA7" s="2" t="inlineStr">
        <is>
          <t>TACNA</t>
        </is>
      </c>
      <c r="AB7" s="2" t="inlineStr">
        <is>
          <t>HUANCAVELICA</t>
        </is>
      </c>
      <c r="AC7" s="2" t="inlineStr">
        <is>
          <t>CUSCO</t>
        </is>
      </c>
      <c r="AD7" s="2" t="inlineStr">
        <is>
          <t>ICA</t>
        </is>
      </c>
    </row>
    <row r="8">
      <c r="A8" s="2" t="n"/>
      <c r="B8" s="2" t="n"/>
      <c r="C8" s="2" t="n"/>
      <c r="D8" s="2" t="n"/>
      <c r="E8" s="2" t="n"/>
      <c r="F8" s="2" t="inlineStr">
        <is>
          <t>PUNO</t>
        </is>
      </c>
      <c r="G8" s="2" t="inlineStr">
        <is>
          <t>LIMA</t>
        </is>
      </c>
      <c r="H8" s="2" t="inlineStr">
        <is>
          <t>PIURA</t>
        </is>
      </c>
      <c r="I8" s="2" t="inlineStr">
        <is>
          <t>LIMA</t>
        </is>
      </c>
      <c r="J8" s="2" t="inlineStr">
        <is>
          <t>ANCASH</t>
        </is>
      </c>
      <c r="K8" s="2" t="inlineStr">
        <is>
          <t>LIMA</t>
        </is>
      </c>
      <c r="L8" s="2" t="inlineStr">
        <is>
          <t>AREQUIPA</t>
        </is>
      </c>
      <c r="M8" s="2" t="inlineStr">
        <is>
          <t>LIMA</t>
        </is>
      </c>
      <c r="N8" s="2" t="inlineStr">
        <is>
          <t>HUANUCO</t>
        </is>
      </c>
      <c r="O8" s="2" t="inlineStr">
        <is>
          <t>LIMA</t>
        </is>
      </c>
      <c r="P8" s="2" t="inlineStr">
        <is>
          <t>LIMA</t>
        </is>
      </c>
      <c r="Q8" s="2" t="inlineStr">
        <is>
          <t>APURIMAC</t>
        </is>
      </c>
      <c r="R8" s="2" t="inlineStr">
        <is>
          <t>CUSCO</t>
        </is>
      </c>
      <c r="S8" s="2" t="inlineStr">
        <is>
          <t>LIMA</t>
        </is>
      </c>
      <c r="T8" s="2" t="inlineStr">
        <is>
          <t>HUANUCO</t>
        </is>
      </c>
      <c r="U8" s="2" t="inlineStr">
        <is>
          <t>LIMA</t>
        </is>
      </c>
      <c r="V8" s="2" t="inlineStr">
        <is>
          <t>CUSCO</t>
        </is>
      </c>
      <c r="W8" s="2" t="inlineStr">
        <is>
          <t>AREQUIPA</t>
        </is>
      </c>
      <c r="X8" s="2" t="inlineStr">
        <is>
          <t>CUSCO</t>
        </is>
      </c>
      <c r="Y8" s="2" t="inlineStr">
        <is>
          <t>SAN MARTIN</t>
        </is>
      </c>
      <c r="Z8" s="2" t="inlineStr">
        <is>
          <t>HUANCAVELICA</t>
        </is>
      </c>
      <c r="AA8" s="2" t="inlineStr">
        <is>
          <t>LAMBAYEQUE</t>
        </is>
      </c>
      <c r="AB8" s="2" t="inlineStr">
        <is>
          <t>HUANCAVELICA</t>
        </is>
      </c>
      <c r="AC8" s="2" t="inlineStr">
        <is>
          <t>LA LIBERTAD</t>
        </is>
      </c>
      <c r="AD8" s="2" t="inlineStr">
        <is>
          <t>CAJAMARCA</t>
        </is>
      </c>
    </row>
    <row r="9">
      <c r="A9" s="2" t="n"/>
      <c r="B9" s="2" t="n"/>
      <c r="C9" s="2" t="n"/>
      <c r="D9" s="2" t="n"/>
      <c r="E9" s="2" t="n"/>
      <c r="F9" s="2" t="n"/>
      <c r="G9" s="2" t="inlineStr">
        <is>
          <t>LIMA</t>
        </is>
      </c>
      <c r="H9" s="2" t="inlineStr">
        <is>
          <t>LIMA</t>
        </is>
      </c>
      <c r="I9" s="2" t="inlineStr">
        <is>
          <t>AMAZONAS</t>
        </is>
      </c>
      <c r="J9" s="2" t="inlineStr">
        <is>
          <t>AYACUCHO</t>
        </is>
      </c>
      <c r="K9" s="2" t="inlineStr">
        <is>
          <t>LIMA</t>
        </is>
      </c>
      <c r="L9" s="2" t="inlineStr">
        <is>
          <t>TACNA</t>
        </is>
      </c>
      <c r="M9" s="2" t="inlineStr">
        <is>
          <t>LIMA</t>
        </is>
      </c>
      <c r="N9" s="2" t="inlineStr">
        <is>
          <t>CUSCO</t>
        </is>
      </c>
      <c r="O9" s="2" t="inlineStr">
        <is>
          <t>LIMA</t>
        </is>
      </c>
      <c r="P9" s="2" t="inlineStr">
        <is>
          <t>LIMA</t>
        </is>
      </c>
      <c r="Q9" s="2" t="inlineStr">
        <is>
          <t>APURIMAC</t>
        </is>
      </c>
      <c r="R9" s="2" t="inlineStr">
        <is>
          <t>LIMA</t>
        </is>
      </c>
      <c r="S9" s="2" t="inlineStr">
        <is>
          <t>HUANCAVELICA</t>
        </is>
      </c>
      <c r="T9" s="2" t="inlineStr">
        <is>
          <t>SAN MARTIN</t>
        </is>
      </c>
      <c r="U9" s="2" t="inlineStr">
        <is>
          <t>AYACUCHO</t>
        </is>
      </c>
      <c r="V9" s="2" t="inlineStr">
        <is>
          <t>TACNA</t>
        </is>
      </c>
      <c r="W9" s="2" t="inlineStr">
        <is>
          <t>LIMA</t>
        </is>
      </c>
      <c r="X9" s="2" t="inlineStr">
        <is>
          <t>CUSCO</t>
        </is>
      </c>
      <c r="Y9" s="2" t="inlineStr">
        <is>
          <t>LIMA</t>
        </is>
      </c>
      <c r="Z9" s="2" t="inlineStr">
        <is>
          <t>LIMA</t>
        </is>
      </c>
      <c r="AA9" s="2" t="inlineStr">
        <is>
          <t>AREQUIPA</t>
        </is>
      </c>
      <c r="AB9" s="2" t="inlineStr">
        <is>
          <t>HUANCAVELICA</t>
        </is>
      </c>
      <c r="AC9" s="2" t="inlineStr">
        <is>
          <t>PUNO</t>
        </is>
      </c>
      <c r="AD9" s="2" t="inlineStr">
        <is>
          <t>AYACUCHO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inlineStr">
        <is>
          <t>AREQUIPA</t>
        </is>
      </c>
      <c r="J10" s="2" t="inlineStr">
        <is>
          <t>ANCASH</t>
        </is>
      </c>
      <c r="K10" s="2" t="inlineStr">
        <is>
          <t>LA LIBERTAD</t>
        </is>
      </c>
      <c r="L10" s="2" t="inlineStr">
        <is>
          <t>LIMA</t>
        </is>
      </c>
      <c r="M10" s="2" t="inlineStr">
        <is>
          <t>LIMA</t>
        </is>
      </c>
      <c r="N10" s="2" t="inlineStr">
        <is>
          <t>LIMA</t>
        </is>
      </c>
      <c r="O10" s="2" t="inlineStr">
        <is>
          <t>LIMA</t>
        </is>
      </c>
      <c r="P10" s="2" t="inlineStr">
        <is>
          <t>UCAYALI</t>
        </is>
      </c>
      <c r="Q10" s="2" t="inlineStr">
        <is>
          <t>CUSCO</t>
        </is>
      </c>
      <c r="R10" s="2" t="inlineStr">
        <is>
          <t>LIMA</t>
        </is>
      </c>
      <c r="S10" s="2" t="inlineStr">
        <is>
          <t>JUNIN</t>
        </is>
      </c>
      <c r="T10" s="2" t="inlineStr">
        <is>
          <t>LIMA</t>
        </is>
      </c>
      <c r="U10" s="2" t="inlineStr">
        <is>
          <t>ICA</t>
        </is>
      </c>
      <c r="V10" s="2" t="inlineStr">
        <is>
          <t>LORETO</t>
        </is>
      </c>
      <c r="W10" s="2" t="inlineStr">
        <is>
          <t>LIMA</t>
        </is>
      </c>
      <c r="X10" s="2" t="inlineStr">
        <is>
          <t>CUSCO</t>
        </is>
      </c>
      <c r="Y10" s="2" t="inlineStr">
        <is>
          <t>APURIMAC</t>
        </is>
      </c>
      <c r="Z10" s="2" t="inlineStr">
        <is>
          <t>HUANUCO</t>
        </is>
      </c>
      <c r="AA10" s="2" t="inlineStr">
        <is>
          <t>PIURA</t>
        </is>
      </c>
      <c r="AB10" s="2" t="inlineStr">
        <is>
          <t>HUANCAVELICA</t>
        </is>
      </c>
      <c r="AC10" s="2" t="inlineStr">
        <is>
          <t>PASCO</t>
        </is>
      </c>
      <c r="AD10" s="2" t="inlineStr">
        <is>
          <t>CUSCO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inlineStr">
        <is>
          <t>LIMA</t>
        </is>
      </c>
      <c r="L11" s="2" t="inlineStr">
        <is>
          <t>APURIMAC</t>
        </is>
      </c>
      <c r="M11" s="2" t="inlineStr">
        <is>
          <t>LA LIBERTAD</t>
        </is>
      </c>
      <c r="N11" s="2" t="inlineStr">
        <is>
          <t>CUSCO</t>
        </is>
      </c>
      <c r="O11" s="2" t="inlineStr">
        <is>
          <t>LIMA</t>
        </is>
      </c>
      <c r="P11" s="2" t="inlineStr">
        <is>
          <t>LIMA</t>
        </is>
      </c>
      <c r="Q11" s="2" t="inlineStr">
        <is>
          <t>MOQUEGUA</t>
        </is>
      </c>
      <c r="R11" s="2" t="inlineStr">
        <is>
          <t>LIMA</t>
        </is>
      </c>
      <c r="S11" s="2" t="inlineStr">
        <is>
          <t>LIMA</t>
        </is>
      </c>
      <c r="T11" s="2" t="inlineStr">
        <is>
          <t>SAN MARTIN</t>
        </is>
      </c>
      <c r="U11" s="2" t="inlineStr">
        <is>
          <t>LIMA</t>
        </is>
      </c>
      <c r="V11" s="2" t="inlineStr">
        <is>
          <t>TACNA</t>
        </is>
      </c>
      <c r="W11" s="2" t="inlineStr">
        <is>
          <t>LIMA</t>
        </is>
      </c>
      <c r="X11" s="2" t="inlineStr">
        <is>
          <t>CUSCO</t>
        </is>
      </c>
      <c r="Y11" s="2" t="inlineStr">
        <is>
          <t>LA LIBERTAD</t>
        </is>
      </c>
      <c r="Z11" s="2" t="inlineStr">
        <is>
          <t>AREQUIPA</t>
        </is>
      </c>
      <c r="AA11" s="2" t="inlineStr">
        <is>
          <t>LAMBAYEQUE</t>
        </is>
      </c>
      <c r="AB11" s="2" t="inlineStr">
        <is>
          <t>AYACUCHO</t>
        </is>
      </c>
      <c r="AC11" s="2" t="inlineStr">
        <is>
          <t>HUANUCO</t>
        </is>
      </c>
      <c r="AD11" s="2" t="inlineStr">
        <is>
          <t>AMAZONAS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CALLAO</t>
        </is>
      </c>
      <c r="M12" s="2" t="inlineStr">
        <is>
          <t>ICA</t>
        </is>
      </c>
      <c r="N12" s="2" t="inlineStr">
        <is>
          <t>CUSCO</t>
        </is>
      </c>
      <c r="O12" s="2" t="inlineStr">
        <is>
          <t>LIMA</t>
        </is>
      </c>
      <c r="P12" s="2" t="inlineStr">
        <is>
          <t>LA LIBERTAD</t>
        </is>
      </c>
      <c r="Q12" s="2" t="inlineStr">
        <is>
          <t>CUSCO</t>
        </is>
      </c>
      <c r="R12" s="2" t="inlineStr">
        <is>
          <t>ICA</t>
        </is>
      </c>
      <c r="S12" s="2" t="inlineStr">
        <is>
          <t>PUNO</t>
        </is>
      </c>
      <c r="T12" s="2" t="inlineStr">
        <is>
          <t>PIURA</t>
        </is>
      </c>
      <c r="U12" s="2" t="inlineStr">
        <is>
          <t>LIMA</t>
        </is>
      </c>
      <c r="V12" s="2" t="inlineStr">
        <is>
          <t>LORETO</t>
        </is>
      </c>
      <c r="W12" s="2" t="inlineStr">
        <is>
          <t>LIMA</t>
        </is>
      </c>
      <c r="X12" s="2" t="inlineStr">
        <is>
          <t>CUSCO</t>
        </is>
      </c>
      <c r="Y12" s="2" t="inlineStr">
        <is>
          <t>SAN MARTIN</t>
        </is>
      </c>
      <c r="Z12" s="2" t="inlineStr">
        <is>
          <t>AMAZONAS</t>
        </is>
      </c>
      <c r="AA12" s="2" t="inlineStr">
        <is>
          <t>PIURA</t>
        </is>
      </c>
      <c r="AB12" s="2" t="inlineStr">
        <is>
          <t>JUNIN</t>
        </is>
      </c>
      <c r="AC12" s="2" t="inlineStr">
        <is>
          <t>PIURA</t>
        </is>
      </c>
      <c r="AD12" s="2" t="inlineStr">
        <is>
          <t>AYACUCHO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LIMA</t>
        </is>
      </c>
      <c r="Q13" s="2" t="inlineStr">
        <is>
          <t>CUSCO</t>
        </is>
      </c>
      <c r="R13" s="2" t="inlineStr">
        <is>
          <t>LIMA</t>
        </is>
      </c>
      <c r="S13" s="2" t="inlineStr">
        <is>
          <t>LIMA</t>
        </is>
      </c>
      <c r="T13" s="2" t="inlineStr">
        <is>
          <t>HUANUCO</t>
        </is>
      </c>
      <c r="U13" s="2" t="inlineStr">
        <is>
          <t>LIMA</t>
        </is>
      </c>
      <c r="V13" s="2" t="inlineStr">
        <is>
          <t>TACNA</t>
        </is>
      </c>
      <c r="W13" s="2" t="inlineStr">
        <is>
          <t>LIMA</t>
        </is>
      </c>
      <c r="X13" s="2" t="inlineStr">
        <is>
          <t>PUNO</t>
        </is>
      </c>
      <c r="Y13" s="2" t="inlineStr">
        <is>
          <t>SAN MARTIN</t>
        </is>
      </c>
      <c r="Z13" s="2" t="inlineStr">
        <is>
          <t>ICA</t>
        </is>
      </c>
      <c r="AA13" s="2" t="inlineStr">
        <is>
          <t>PIURA</t>
        </is>
      </c>
      <c r="AB13" s="2" t="inlineStr">
        <is>
          <t>PASCO</t>
        </is>
      </c>
      <c r="AC13" s="2" t="inlineStr">
        <is>
          <t>PASCO</t>
        </is>
      </c>
      <c r="AD13" s="2" t="inlineStr">
        <is>
          <t>JUNIN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inlineStr">
        <is>
          <t>CUSCO</t>
        </is>
      </c>
      <c r="T14" s="2" t="inlineStr">
        <is>
          <t>JUNIN</t>
        </is>
      </c>
      <c r="U14" s="2" t="inlineStr">
        <is>
          <t>ICA</t>
        </is>
      </c>
      <c r="V14" s="2" t="inlineStr">
        <is>
          <t>HUANUCO</t>
        </is>
      </c>
      <c r="W14" s="2" t="inlineStr">
        <is>
          <t>LIMA</t>
        </is>
      </c>
      <c r="X14" s="2" t="inlineStr">
        <is>
          <t>AREQUIPA</t>
        </is>
      </c>
      <c r="Y14" s="2" t="inlineStr">
        <is>
          <t>CAJAMARCA</t>
        </is>
      </c>
      <c r="Z14" s="2" t="inlineStr">
        <is>
          <t>LIMA</t>
        </is>
      </c>
      <c r="AA14" s="2" t="inlineStr">
        <is>
          <t>PIURA</t>
        </is>
      </c>
      <c r="AB14" s="2" t="inlineStr">
        <is>
          <t>PIURA</t>
        </is>
      </c>
      <c r="AC14" s="2" t="inlineStr">
        <is>
          <t>CUSCO</t>
        </is>
      </c>
      <c r="AD14" s="2" t="inlineStr">
        <is>
          <t>CAJAMARCA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inlineStr">
        <is>
          <t>CALLAO</t>
        </is>
      </c>
      <c r="T15" s="2" t="inlineStr">
        <is>
          <t>LIMA</t>
        </is>
      </c>
      <c r="U15" s="2" t="inlineStr">
        <is>
          <t>LA LIBERTAD</t>
        </is>
      </c>
      <c r="V15" s="2" t="inlineStr">
        <is>
          <t>LAMBAYEQUE</t>
        </is>
      </c>
      <c r="W15" s="2" t="inlineStr">
        <is>
          <t>LIMA</t>
        </is>
      </c>
      <c r="X15" s="2" t="inlineStr">
        <is>
          <t>TACNA</t>
        </is>
      </c>
      <c r="Y15" s="2" t="inlineStr">
        <is>
          <t>LA LIBERTAD</t>
        </is>
      </c>
      <c r="Z15" s="2" t="inlineStr">
        <is>
          <t>ICA</t>
        </is>
      </c>
      <c r="AA15" s="2" t="inlineStr">
        <is>
          <t>AREQUIPA</t>
        </is>
      </c>
      <c r="AB15" s="2" t="inlineStr">
        <is>
          <t>CUSCO</t>
        </is>
      </c>
      <c r="AC15" s="2" t="inlineStr">
        <is>
          <t>CUSCO</t>
        </is>
      </c>
      <c r="AD15" s="2" t="inlineStr">
        <is>
          <t>CAJAMARCA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inlineStr">
        <is>
          <t>ANCASH</t>
        </is>
      </c>
      <c r="T16" s="2" t="inlineStr">
        <is>
          <t>CUSCO</t>
        </is>
      </c>
      <c r="U16" s="2" t="inlineStr">
        <is>
          <t>LIMA</t>
        </is>
      </c>
      <c r="V16" s="2" t="inlineStr">
        <is>
          <t>LORETO</t>
        </is>
      </c>
      <c r="W16" s="2" t="inlineStr">
        <is>
          <t>LIMA</t>
        </is>
      </c>
      <c r="X16" s="2" t="inlineStr">
        <is>
          <t>MOQUEGUA</t>
        </is>
      </c>
      <c r="Y16" s="2" t="inlineStr">
        <is>
          <t>CAJAMARCA</t>
        </is>
      </c>
      <c r="Z16" s="2" t="inlineStr">
        <is>
          <t>MOQUEGUA</t>
        </is>
      </c>
      <c r="AA16" s="2" t="inlineStr">
        <is>
          <t>LAMBAYEQUE</t>
        </is>
      </c>
      <c r="AB16" s="2" t="inlineStr">
        <is>
          <t>LIMA</t>
        </is>
      </c>
      <c r="AC16" s="2" t="inlineStr">
        <is>
          <t>CAJAMARCA</t>
        </is>
      </c>
      <c r="AD16" s="2" t="inlineStr">
        <is>
          <t>AYACUCHO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inlineStr">
        <is>
          <t>LIMA</t>
        </is>
      </c>
      <c r="T17" s="2" t="inlineStr">
        <is>
          <t>LIMA</t>
        </is>
      </c>
      <c r="U17" s="2" t="inlineStr">
        <is>
          <t>LIMA</t>
        </is>
      </c>
      <c r="V17" s="2" t="inlineStr">
        <is>
          <t>HUANUCO</t>
        </is>
      </c>
      <c r="W17" s="2" t="inlineStr">
        <is>
          <t>LIMA</t>
        </is>
      </c>
      <c r="X17" s="2" t="inlineStr">
        <is>
          <t>TACNA</t>
        </is>
      </c>
      <c r="Y17" s="2" t="inlineStr">
        <is>
          <t>PASCO</t>
        </is>
      </c>
      <c r="Z17" s="2" t="inlineStr">
        <is>
          <t>LIMA</t>
        </is>
      </c>
      <c r="AA17" s="2" t="inlineStr">
        <is>
          <t>PIURA</t>
        </is>
      </c>
      <c r="AB17" s="2" t="inlineStr">
        <is>
          <t>HUANUCO</t>
        </is>
      </c>
      <c r="AC17" s="2" t="inlineStr">
        <is>
          <t>PUNO</t>
        </is>
      </c>
      <c r="AD17" s="2" t="inlineStr">
        <is>
          <t>AYACUCHO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HUANUCO</t>
        </is>
      </c>
      <c r="U18" s="2" t="inlineStr">
        <is>
          <t>LIMA</t>
        </is>
      </c>
      <c r="V18" s="2" t="inlineStr">
        <is>
          <t>HUANUCO</t>
        </is>
      </c>
      <c r="W18" s="2" t="inlineStr">
        <is>
          <t>LIMA</t>
        </is>
      </c>
      <c r="X18" s="2" t="inlineStr">
        <is>
          <t>PUNO</t>
        </is>
      </c>
      <c r="Y18" s="2" t="inlineStr">
        <is>
          <t>PASCO</t>
        </is>
      </c>
      <c r="Z18" s="2" t="inlineStr">
        <is>
          <t>LAMBAYEQUE</t>
        </is>
      </c>
      <c r="AA18" s="2" t="inlineStr">
        <is>
          <t>AREQUIPA</t>
        </is>
      </c>
      <c r="AB18" s="2" t="inlineStr">
        <is>
          <t>LA LIBERTAD</t>
        </is>
      </c>
      <c r="AC18" s="2" t="inlineStr">
        <is>
          <t>AYACUCHO</t>
        </is>
      </c>
      <c r="AD18" s="2" t="inlineStr">
        <is>
          <t>AYACUCHO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inlineStr">
        <is>
          <t>LIMA</t>
        </is>
      </c>
      <c r="V19" s="2" t="inlineStr">
        <is>
          <t>LAMBAYEQUE</t>
        </is>
      </c>
      <c r="W19" s="2" t="inlineStr">
        <is>
          <t>LIMA</t>
        </is>
      </c>
      <c r="X19" s="2" t="inlineStr">
        <is>
          <t>PIURA</t>
        </is>
      </c>
      <c r="Y19" s="2" t="inlineStr">
        <is>
          <t>LORETO</t>
        </is>
      </c>
      <c r="Z19" s="2" t="inlineStr">
        <is>
          <t>PIURA</t>
        </is>
      </c>
      <c r="AA19" s="2" t="inlineStr">
        <is>
          <t>AREQUIPA</t>
        </is>
      </c>
      <c r="AB19" s="2" t="inlineStr">
        <is>
          <t>HUANCAVELICA</t>
        </is>
      </c>
      <c r="AC19" s="2" t="inlineStr">
        <is>
          <t>LIMA</t>
        </is>
      </c>
      <c r="AD19" s="2" t="inlineStr">
        <is>
          <t>AYACUCHO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inlineStr">
        <is>
          <t>LAMBAYEQUE</t>
        </is>
      </c>
      <c r="V20" s="2" t="inlineStr">
        <is>
          <t>TACNA</t>
        </is>
      </c>
      <c r="W20" s="2" t="inlineStr">
        <is>
          <t>AREQUIPA</t>
        </is>
      </c>
      <c r="X20" s="2" t="inlineStr">
        <is>
          <t>TACNA</t>
        </is>
      </c>
      <c r="Y20" s="2" t="inlineStr">
        <is>
          <t>LIMA</t>
        </is>
      </c>
      <c r="Z20" s="2" t="inlineStr">
        <is>
          <t>CAJAMARCA</t>
        </is>
      </c>
      <c r="AA20" s="2" t="inlineStr">
        <is>
          <t>LAMBAYEQUE</t>
        </is>
      </c>
      <c r="AB20" s="2" t="inlineStr">
        <is>
          <t>HUANCAVELICA</t>
        </is>
      </c>
      <c r="AC20" s="2" t="inlineStr">
        <is>
          <t>AMAZONAS</t>
        </is>
      </c>
      <c r="AD20" s="2" t="inlineStr">
        <is>
          <t>AYACUCHO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inlineStr">
        <is>
          <t>AYACUCHO</t>
        </is>
      </c>
      <c r="V21" s="2" t="inlineStr">
        <is>
          <t>HUANUCO</t>
        </is>
      </c>
      <c r="W21" s="2" t="inlineStr">
        <is>
          <t>LIMA</t>
        </is>
      </c>
      <c r="X21" s="2" t="inlineStr">
        <is>
          <t>AREQUIPA</t>
        </is>
      </c>
      <c r="Y21" s="2" t="inlineStr">
        <is>
          <t>CAJAMARCA</t>
        </is>
      </c>
      <c r="Z21" s="2" t="inlineStr">
        <is>
          <t>UCAYALI</t>
        </is>
      </c>
      <c r="AA21" s="2" t="inlineStr">
        <is>
          <t>LAMBAYEQUE</t>
        </is>
      </c>
      <c r="AB21" s="2" t="inlineStr">
        <is>
          <t>HUANCAVELICA</t>
        </is>
      </c>
      <c r="AC21" s="2" t="inlineStr">
        <is>
          <t>HUANUCO</t>
        </is>
      </c>
      <c r="AD21" s="2" t="inlineStr">
        <is>
          <t>CAJAMARCA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inlineStr">
        <is>
          <t>ICA</t>
        </is>
      </c>
      <c r="V22" s="2" t="inlineStr">
        <is>
          <t>HUANUCO</t>
        </is>
      </c>
      <c r="W22" s="2" t="inlineStr">
        <is>
          <t>LIMA</t>
        </is>
      </c>
      <c r="X22" s="2" t="inlineStr">
        <is>
          <t>CUSCO</t>
        </is>
      </c>
      <c r="Y22" s="2" t="inlineStr">
        <is>
          <t>PIURA</t>
        </is>
      </c>
      <c r="Z22" s="2" t="inlineStr">
        <is>
          <t>AYACUCHO</t>
        </is>
      </c>
      <c r="AA22" s="2" t="inlineStr">
        <is>
          <t>LAMBAYEQUE</t>
        </is>
      </c>
      <c r="AB22" s="2" t="inlineStr">
        <is>
          <t>HUANCAVELICA</t>
        </is>
      </c>
      <c r="AC22" s="2" t="inlineStr">
        <is>
          <t>PIURA</t>
        </is>
      </c>
      <c r="AD22" s="2" t="inlineStr">
        <is>
          <t>AMAZONAS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inlineStr">
        <is>
          <t>LIMA</t>
        </is>
      </c>
      <c r="V23" s="2" t="inlineStr">
        <is>
          <t>LORETO</t>
        </is>
      </c>
      <c r="W23" s="2" t="inlineStr">
        <is>
          <t>AREQUIPA</t>
        </is>
      </c>
      <c r="X23" s="2" t="inlineStr">
        <is>
          <t>PUNO</t>
        </is>
      </c>
      <c r="Y23" s="2" t="inlineStr">
        <is>
          <t>CAJAMARCA</t>
        </is>
      </c>
      <c r="Z23" s="2" t="inlineStr">
        <is>
          <t>PIURA</t>
        </is>
      </c>
      <c r="AA23" s="2" t="inlineStr">
        <is>
          <t>AREQUIPA</t>
        </is>
      </c>
      <c r="AB23" s="2" t="inlineStr">
        <is>
          <t>HUANCAVELICA</t>
        </is>
      </c>
      <c r="AC23" s="2" t="inlineStr">
        <is>
          <t>PUNO</t>
        </is>
      </c>
      <c r="AD23" s="2" t="inlineStr">
        <is>
          <t>AYACUCHO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inlineStr">
        <is>
          <t>LIMA</t>
        </is>
      </c>
      <c r="V24" s="2" t="inlineStr">
        <is>
          <t>HUANUCO</t>
        </is>
      </c>
      <c r="W24" s="2" t="inlineStr">
        <is>
          <t>LIMA</t>
        </is>
      </c>
      <c r="X24" s="2" t="inlineStr">
        <is>
          <t>TACNA</t>
        </is>
      </c>
      <c r="Y24" s="2" t="inlineStr">
        <is>
          <t>SAN MARTIN</t>
        </is>
      </c>
      <c r="Z24" s="2" t="inlineStr">
        <is>
          <t>AYACUCHO</t>
        </is>
      </c>
      <c r="AA24" s="2" t="inlineStr">
        <is>
          <t>AMAZONAS</t>
        </is>
      </c>
      <c r="AB24" s="2" t="inlineStr">
        <is>
          <t>HUANCAVELICA</t>
        </is>
      </c>
      <c r="AC24" s="2" t="inlineStr">
        <is>
          <t>SAN MARTIN</t>
        </is>
      </c>
      <c r="AD24" s="2" t="inlineStr">
        <is>
          <t>TACNA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inlineStr">
        <is>
          <t>AREQUIPA</t>
        </is>
      </c>
      <c r="V25" s="2" t="inlineStr">
        <is>
          <t>LAMBAYEQUE</t>
        </is>
      </c>
      <c r="W25" s="2" t="inlineStr">
        <is>
          <t>LIMA</t>
        </is>
      </c>
      <c r="X25" s="2" t="inlineStr">
        <is>
          <t>CUSCO</t>
        </is>
      </c>
      <c r="Y25" s="2" t="inlineStr">
        <is>
          <t>AREQUIPA</t>
        </is>
      </c>
      <c r="Z25" s="2" t="inlineStr">
        <is>
          <t>LIMA</t>
        </is>
      </c>
      <c r="AA25" s="2" t="inlineStr">
        <is>
          <t>LAMBAYEQUE</t>
        </is>
      </c>
      <c r="AB25" s="2" t="inlineStr">
        <is>
          <t>HUANCAVELICA</t>
        </is>
      </c>
      <c r="AC25" s="2" t="inlineStr">
        <is>
          <t>APURIMAC</t>
        </is>
      </c>
      <c r="AD25" s="2" t="inlineStr">
        <is>
          <t>AYACUCHO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inlineStr">
        <is>
          <t>LIMA</t>
        </is>
      </c>
      <c r="V26" s="2" t="inlineStr">
        <is>
          <t>LAMBAYEQUE</t>
        </is>
      </c>
      <c r="W26" s="2" t="inlineStr">
        <is>
          <t>LIMA</t>
        </is>
      </c>
      <c r="X26" s="2" t="inlineStr">
        <is>
          <t>AREQUIPA</t>
        </is>
      </c>
      <c r="Y26" s="2" t="inlineStr">
        <is>
          <t>UCAYALI</t>
        </is>
      </c>
      <c r="Z26" s="2" t="inlineStr">
        <is>
          <t>MOQUEGUA</t>
        </is>
      </c>
      <c r="AA26" s="2" t="inlineStr">
        <is>
          <t>PIURA</t>
        </is>
      </c>
      <c r="AB26" s="2" t="inlineStr">
        <is>
          <t>HUANCAVELICA</t>
        </is>
      </c>
      <c r="AC26" s="2" t="inlineStr">
        <is>
          <t>LORETO</t>
        </is>
      </c>
      <c r="AD26" s="2" t="inlineStr">
        <is>
          <t>AYACUCHO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inlineStr">
        <is>
          <t>LIMA</t>
        </is>
      </c>
      <c r="V27" s="2" t="inlineStr">
        <is>
          <t>LIMA</t>
        </is>
      </c>
      <c r="W27" s="2" t="inlineStr">
        <is>
          <t>LIMA</t>
        </is>
      </c>
      <c r="X27" s="2" t="inlineStr">
        <is>
          <t>CUSCO</t>
        </is>
      </c>
      <c r="Y27" s="2" t="inlineStr">
        <is>
          <t>CAJAMARCA</t>
        </is>
      </c>
      <c r="Z27" s="2" t="inlineStr">
        <is>
          <t>AYACUCHO</t>
        </is>
      </c>
      <c r="AA27" s="2" t="inlineStr">
        <is>
          <t>TUMBES</t>
        </is>
      </c>
      <c r="AB27" s="2" t="inlineStr">
        <is>
          <t>JUNIN</t>
        </is>
      </c>
      <c r="AC27" s="2" t="inlineStr">
        <is>
          <t>SAN MARTIN</t>
        </is>
      </c>
      <c r="AD27" s="2" t="inlineStr">
        <is>
          <t>CAJAMARCA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inlineStr">
        <is>
          <t>ICA</t>
        </is>
      </c>
      <c r="V28" s="2" t="inlineStr">
        <is>
          <t>TACNA</t>
        </is>
      </c>
      <c r="W28" s="2" t="inlineStr">
        <is>
          <t>LIMA</t>
        </is>
      </c>
      <c r="X28" s="2" t="inlineStr">
        <is>
          <t>PUNO</t>
        </is>
      </c>
      <c r="Y28" s="2" t="inlineStr">
        <is>
          <t>UCAYALI</t>
        </is>
      </c>
      <c r="Z28" s="2" t="inlineStr">
        <is>
          <t>LORETO</t>
        </is>
      </c>
      <c r="AA28" s="2" t="inlineStr">
        <is>
          <t>AREQUIPA</t>
        </is>
      </c>
      <c r="AB28" s="2" t="inlineStr">
        <is>
          <t>JUNIN</t>
        </is>
      </c>
      <c r="AC28" s="2" t="inlineStr">
        <is>
          <t>JUNIN</t>
        </is>
      </c>
      <c r="AD28" s="2" t="inlineStr">
        <is>
          <t>AMAZONAS</t>
        </is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inlineStr">
        <is>
          <t>LIMA</t>
        </is>
      </c>
      <c r="V29" s="2" t="inlineStr">
        <is>
          <t>LORETO</t>
        </is>
      </c>
      <c r="W29" s="2" t="inlineStr">
        <is>
          <t>LIMA</t>
        </is>
      </c>
      <c r="X29" s="2" t="inlineStr">
        <is>
          <t>APURIMAC</t>
        </is>
      </c>
      <c r="Y29" s="2" t="inlineStr">
        <is>
          <t>CUSCO</t>
        </is>
      </c>
      <c r="Z29" s="2" t="inlineStr">
        <is>
          <t>PUNO</t>
        </is>
      </c>
      <c r="AA29" s="2" t="inlineStr">
        <is>
          <t>AREQUIPA</t>
        </is>
      </c>
      <c r="AB29" s="2" t="inlineStr">
        <is>
          <t>JUNIN</t>
        </is>
      </c>
      <c r="AC29" s="2" t="inlineStr">
        <is>
          <t>HUANCAVELICA</t>
        </is>
      </c>
      <c r="AD29" s="2" t="inlineStr">
        <is>
          <t>AYACUCHO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inlineStr">
        <is>
          <t>LIMA</t>
        </is>
      </c>
      <c r="V30" s="2" t="inlineStr">
        <is>
          <t>LORETO</t>
        </is>
      </c>
      <c r="W30" s="2" t="inlineStr">
        <is>
          <t>CALLAO</t>
        </is>
      </c>
      <c r="X30" s="2" t="inlineStr">
        <is>
          <t>PUNO</t>
        </is>
      </c>
      <c r="Y30" s="2" t="inlineStr">
        <is>
          <t>UCAYALI</t>
        </is>
      </c>
      <c r="Z30" s="2" t="inlineStr">
        <is>
          <t>MOQUEGUA</t>
        </is>
      </c>
      <c r="AA30" s="2" t="inlineStr">
        <is>
          <t>CUSCO</t>
        </is>
      </c>
      <c r="AB30" s="2" t="inlineStr">
        <is>
          <t>JUNIN</t>
        </is>
      </c>
      <c r="AC30" s="2" t="inlineStr">
        <is>
          <t>CAJAMARCA</t>
        </is>
      </c>
      <c r="AD30" s="2" t="inlineStr">
        <is>
          <t>CAJAMARCA</t>
        </is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inlineStr">
        <is>
          <t>LIMA</t>
        </is>
      </c>
      <c r="V31" s="2" t="inlineStr">
        <is>
          <t>APURIMAC</t>
        </is>
      </c>
      <c r="W31" s="2" t="inlineStr">
        <is>
          <t>LIMA</t>
        </is>
      </c>
      <c r="X31" s="2" t="inlineStr">
        <is>
          <t>AREQUIPA</t>
        </is>
      </c>
      <c r="Y31" s="2" t="inlineStr">
        <is>
          <t>CUSCO</t>
        </is>
      </c>
      <c r="Z31" s="2" t="inlineStr">
        <is>
          <t>AYACUCHO</t>
        </is>
      </c>
      <c r="AA31" s="2" t="inlineStr">
        <is>
          <t>LAMBAYEQUE</t>
        </is>
      </c>
      <c r="AB31" s="2" t="inlineStr">
        <is>
          <t>JUNIN</t>
        </is>
      </c>
      <c r="AC31" s="2" t="inlineStr">
        <is>
          <t>PUNO</t>
        </is>
      </c>
      <c r="AD31" s="2" t="inlineStr">
        <is>
          <t>ANCASH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inlineStr">
        <is>
          <t>AREQUIPA</t>
        </is>
      </c>
      <c r="W32" s="2" t="inlineStr">
        <is>
          <t>LIMA</t>
        </is>
      </c>
      <c r="X32" s="2" t="inlineStr">
        <is>
          <t>AREQUIPA</t>
        </is>
      </c>
      <c r="Y32" s="2" t="inlineStr">
        <is>
          <t>PASCO</t>
        </is>
      </c>
      <c r="Z32" s="2" t="inlineStr">
        <is>
          <t>JUNIN</t>
        </is>
      </c>
      <c r="AA32" s="2" t="inlineStr">
        <is>
          <t>AREQUIPA</t>
        </is>
      </c>
      <c r="AB32" s="2" t="inlineStr">
        <is>
          <t>APURIMAC</t>
        </is>
      </c>
      <c r="AC32" s="2" t="inlineStr">
        <is>
          <t>APURIMAC</t>
        </is>
      </c>
      <c r="AD32" s="2" t="inlineStr">
        <is>
          <t>ICA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inlineStr">
        <is>
          <t>TACNA</t>
        </is>
      </c>
      <c r="W33" s="2" t="inlineStr">
        <is>
          <t>AREQUIPA</t>
        </is>
      </c>
      <c r="X33" s="2" t="inlineStr">
        <is>
          <t>CUSCO</t>
        </is>
      </c>
      <c r="Y33" s="2" t="inlineStr">
        <is>
          <t>JUNIN</t>
        </is>
      </c>
      <c r="Z33" s="2" t="inlineStr">
        <is>
          <t>PIURA</t>
        </is>
      </c>
      <c r="AA33" s="2" t="inlineStr">
        <is>
          <t>LIMA</t>
        </is>
      </c>
      <c r="AB33" s="2" t="inlineStr">
        <is>
          <t>AYACUCHO</t>
        </is>
      </c>
      <c r="AC33" s="2" t="inlineStr">
        <is>
          <t>CAJAMARCA</t>
        </is>
      </c>
      <c r="AD33" s="2" t="inlineStr">
        <is>
          <t>AMAZONAS</t>
        </is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LIMA</t>
        </is>
      </c>
      <c r="X34" s="2" t="inlineStr">
        <is>
          <t>AREQUIPA</t>
        </is>
      </c>
      <c r="Y34" s="2" t="inlineStr">
        <is>
          <t>PUNO</t>
        </is>
      </c>
      <c r="Z34" s="2" t="inlineStr">
        <is>
          <t>LORETO</t>
        </is>
      </c>
      <c r="AA34" s="2" t="inlineStr">
        <is>
          <t>AREQUIPA</t>
        </is>
      </c>
      <c r="AB34" s="2" t="inlineStr">
        <is>
          <t>AYACUCHO</t>
        </is>
      </c>
      <c r="AC34" s="2" t="inlineStr">
        <is>
          <t>CUSCO</t>
        </is>
      </c>
      <c r="AD34" s="2" t="inlineStr">
        <is>
          <t>CAJAMARCA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inlineStr">
        <is>
          <t>AREQUIPA</t>
        </is>
      </c>
      <c r="Y35" s="2" t="inlineStr">
        <is>
          <t>CUSCO</t>
        </is>
      </c>
      <c r="Z35" s="2" t="inlineStr">
        <is>
          <t>LORETO</t>
        </is>
      </c>
      <c r="AA35" s="2" t="inlineStr">
        <is>
          <t>LA LIBERTAD</t>
        </is>
      </c>
      <c r="AB35" s="2" t="inlineStr">
        <is>
          <t>AYACUCHO</t>
        </is>
      </c>
      <c r="AC35" s="2" t="inlineStr">
        <is>
          <t>HUANCAVELICA</t>
        </is>
      </c>
      <c r="AD35" s="2" t="inlineStr">
        <is>
          <t>AREQUIPA</t>
        </is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inlineStr">
        <is>
          <t>CUSCO</t>
        </is>
      </c>
      <c r="Y36" s="2" t="inlineStr">
        <is>
          <t>CAJAMARCA</t>
        </is>
      </c>
      <c r="Z36" s="2" t="inlineStr">
        <is>
          <t>UCAYALI</t>
        </is>
      </c>
      <c r="AA36" s="2" t="inlineStr">
        <is>
          <t>AREQUIPA</t>
        </is>
      </c>
      <c r="AB36" s="2" t="inlineStr">
        <is>
          <t>AYACUCHO</t>
        </is>
      </c>
      <c r="AC36" s="2" t="inlineStr">
        <is>
          <t>PASCO</t>
        </is>
      </c>
      <c r="AD36" s="2" t="inlineStr">
        <is>
          <t>AYACUCHO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inlineStr">
        <is>
          <t>AMAZONAS</t>
        </is>
      </c>
      <c r="Y37" s="2" t="inlineStr">
        <is>
          <t>MOQUEGUA</t>
        </is>
      </c>
      <c r="Z37" s="2" t="inlineStr">
        <is>
          <t>LIMA</t>
        </is>
      </c>
      <c r="AA37" s="2" t="inlineStr">
        <is>
          <t>PIURA</t>
        </is>
      </c>
      <c r="AB37" s="2" t="inlineStr">
        <is>
          <t>JUNIN</t>
        </is>
      </c>
      <c r="AC37" s="2" t="inlineStr">
        <is>
          <t>PUNO</t>
        </is>
      </c>
      <c r="AD37" s="2" t="inlineStr">
        <is>
          <t>CUSCO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inlineStr">
        <is>
          <t>AYACUCHO</t>
        </is>
      </c>
      <c r="Y38" s="2" t="inlineStr">
        <is>
          <t>CALLAO</t>
        </is>
      </c>
      <c r="Z38" s="2" t="inlineStr">
        <is>
          <t>AREQUIPA</t>
        </is>
      </c>
      <c r="AA38" s="2" t="inlineStr">
        <is>
          <t>PIURA</t>
        </is>
      </c>
      <c r="AB38" s="2" t="inlineStr">
        <is>
          <t>JUNIN</t>
        </is>
      </c>
      <c r="AC38" s="2" t="inlineStr">
        <is>
          <t>PASCO</t>
        </is>
      </c>
      <c r="AD38" s="2" t="inlineStr">
        <is>
          <t>PUNO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inlineStr">
        <is>
          <t>AMAZONAS</t>
        </is>
      </c>
      <c r="Y39" s="2" t="inlineStr">
        <is>
          <t>AYACUCHO</t>
        </is>
      </c>
      <c r="Z39" s="2" t="inlineStr">
        <is>
          <t>LIMA</t>
        </is>
      </c>
      <c r="AA39" s="2" t="inlineStr">
        <is>
          <t>LAMBAYEQUE</t>
        </is>
      </c>
      <c r="AB39" s="2" t="inlineStr">
        <is>
          <t>JUNIN</t>
        </is>
      </c>
      <c r="AC39" s="2" t="inlineStr">
        <is>
          <t>HUANCAVELICA</t>
        </is>
      </c>
      <c r="AD39" s="2" t="inlineStr">
        <is>
          <t>AREQUIPA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inlineStr">
        <is>
          <t>PIURA</t>
        </is>
      </c>
      <c r="Y40" s="2" t="inlineStr">
        <is>
          <t>PIURA</t>
        </is>
      </c>
      <c r="Z40" s="2" t="inlineStr">
        <is>
          <t>CUSCO</t>
        </is>
      </c>
      <c r="AA40" s="2" t="inlineStr">
        <is>
          <t>PIURA</t>
        </is>
      </c>
      <c r="AB40" s="2" t="inlineStr">
        <is>
          <t>JUNIN</t>
        </is>
      </c>
      <c r="AC40" s="2" t="inlineStr">
        <is>
          <t>CUSCO</t>
        </is>
      </c>
      <c r="AD40" s="2" t="inlineStr">
        <is>
          <t>AYACUCHO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inlineStr">
        <is>
          <t>APURIMAC</t>
        </is>
      </c>
      <c r="Y41" s="2" t="inlineStr">
        <is>
          <t>PIURA</t>
        </is>
      </c>
      <c r="Z41" s="2" t="inlineStr">
        <is>
          <t>TACNA</t>
        </is>
      </c>
      <c r="AA41" s="2" t="inlineStr">
        <is>
          <t>PIURA</t>
        </is>
      </c>
      <c r="AB41" s="2" t="inlineStr">
        <is>
          <t>APURIMAC</t>
        </is>
      </c>
      <c r="AC41" s="2" t="inlineStr">
        <is>
          <t>AREQUIPA</t>
        </is>
      </c>
      <c r="AD41" s="2" t="inlineStr">
        <is>
          <t>AYACUCHO</t>
        </is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inlineStr">
        <is>
          <t>APURIMAC</t>
        </is>
      </c>
      <c r="Y42" s="2" t="inlineStr">
        <is>
          <t>PIURA</t>
        </is>
      </c>
      <c r="Z42" s="2" t="inlineStr">
        <is>
          <t>LIMA</t>
        </is>
      </c>
      <c r="AA42" s="2" t="inlineStr">
        <is>
          <t>AREQUIPA</t>
        </is>
      </c>
      <c r="AB42" s="2" t="inlineStr">
        <is>
          <t>APURIMAC</t>
        </is>
      </c>
      <c r="AC42" s="2" t="inlineStr">
        <is>
          <t>LORETO</t>
        </is>
      </c>
      <c r="AD42" s="2" t="inlineStr">
        <is>
          <t>HUANUCO</t>
        </is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inlineStr">
        <is>
          <t>AYACUCHO</t>
        </is>
      </c>
      <c r="Y43" s="2" t="inlineStr">
        <is>
          <t>TACNA</t>
        </is>
      </c>
      <c r="Z43" s="2" t="inlineStr">
        <is>
          <t>LIMA</t>
        </is>
      </c>
      <c r="AA43" s="2" t="inlineStr">
        <is>
          <t>AREQUIPA</t>
        </is>
      </c>
      <c r="AB43" s="2" t="inlineStr">
        <is>
          <t>APURIMAC</t>
        </is>
      </c>
      <c r="AC43" s="2" t="inlineStr">
        <is>
          <t>AMAZONAS</t>
        </is>
      </c>
      <c r="AD43" s="2" t="inlineStr">
        <is>
          <t>PUNO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inlineStr">
        <is>
          <t>AYACUCHO</t>
        </is>
      </c>
      <c r="Y44" s="2" t="inlineStr">
        <is>
          <t>LAMBAYEQUE</t>
        </is>
      </c>
      <c r="Z44" s="2" t="inlineStr">
        <is>
          <t>AREQUIPA</t>
        </is>
      </c>
      <c r="AA44" s="2" t="inlineStr">
        <is>
          <t>LAMBAYEQUE</t>
        </is>
      </c>
      <c r="AB44" s="2" t="inlineStr">
        <is>
          <t>HUANCAVELICA</t>
        </is>
      </c>
      <c r="AC44" s="2" t="inlineStr">
        <is>
          <t>PUNO</t>
        </is>
      </c>
      <c r="AD44" s="2" t="inlineStr">
        <is>
          <t>AYACUCHO</t>
        </is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inlineStr">
        <is>
          <t>CUSCO</t>
        </is>
      </c>
      <c r="Y45" s="2" t="inlineStr">
        <is>
          <t>LAMBAYEQUE</t>
        </is>
      </c>
      <c r="Z45" s="2" t="inlineStr">
        <is>
          <t>LIMA</t>
        </is>
      </c>
      <c r="AA45" s="2" t="inlineStr">
        <is>
          <t>PIURA</t>
        </is>
      </c>
      <c r="AB45" s="2" t="inlineStr">
        <is>
          <t>HUANCAVELICA</t>
        </is>
      </c>
      <c r="AC45" s="2" t="inlineStr">
        <is>
          <t>PUNO</t>
        </is>
      </c>
      <c r="AD45" s="2" t="inlineStr">
        <is>
          <t>AMAZONAS</t>
        </is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inlineStr">
        <is>
          <t>AREQUIPA</t>
        </is>
      </c>
      <c r="Y46" s="2" t="inlineStr">
        <is>
          <t>CUSCO</t>
        </is>
      </c>
      <c r="Z46" s="2" t="inlineStr">
        <is>
          <t>LIMA</t>
        </is>
      </c>
      <c r="AA46" s="2" t="inlineStr">
        <is>
          <t>LA LIBERTAD</t>
        </is>
      </c>
      <c r="AB46" s="2" t="inlineStr">
        <is>
          <t>HUANCAVELICA</t>
        </is>
      </c>
      <c r="AC46" s="2" t="inlineStr">
        <is>
          <t>MOQUEGUA</t>
        </is>
      </c>
      <c r="AD46" s="2" t="inlineStr">
        <is>
          <t>AYACUCHO</t>
        </is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inlineStr">
        <is>
          <t>CUSCO</t>
        </is>
      </c>
      <c r="Y47" s="2" t="inlineStr">
        <is>
          <t>LA LIBERTAD</t>
        </is>
      </c>
      <c r="Z47" s="2" t="inlineStr">
        <is>
          <t>LORETO</t>
        </is>
      </c>
      <c r="AA47" s="2" t="inlineStr">
        <is>
          <t>LAMBAYEQUE</t>
        </is>
      </c>
      <c r="AB47" s="2" t="inlineStr">
        <is>
          <t>HUANCAVELICA</t>
        </is>
      </c>
      <c r="AC47" s="2" t="inlineStr">
        <is>
          <t>PUNO</t>
        </is>
      </c>
      <c r="AD47" s="2" t="inlineStr">
        <is>
          <t>AREQUIPA</t>
        </is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inlineStr">
        <is>
          <t>CUSCO</t>
        </is>
      </c>
      <c r="Y48" s="2" t="inlineStr">
        <is>
          <t>SAN MARTIN</t>
        </is>
      </c>
      <c r="Z48" s="2" t="inlineStr">
        <is>
          <t>CUSCO</t>
        </is>
      </c>
      <c r="AA48" s="2" t="inlineStr">
        <is>
          <t>AREQUIPA</t>
        </is>
      </c>
      <c r="AB48" s="2" t="inlineStr">
        <is>
          <t>HUANCAVELICA</t>
        </is>
      </c>
      <c r="AC48" s="2" t="inlineStr">
        <is>
          <t>CAJAMARCA</t>
        </is>
      </c>
      <c r="AD48" s="2" t="inlineStr">
        <is>
          <t>CAJAMARCA</t>
        </is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inlineStr">
        <is>
          <t>CUSCO</t>
        </is>
      </c>
      <c r="Y49" s="2" t="inlineStr">
        <is>
          <t>PASCO</t>
        </is>
      </c>
      <c r="Z49" s="2" t="inlineStr">
        <is>
          <t>LAMBAYEQUE</t>
        </is>
      </c>
      <c r="AA49" s="2" t="inlineStr">
        <is>
          <t>PIURA</t>
        </is>
      </c>
      <c r="AB49" s="2" t="inlineStr">
        <is>
          <t>HUANCAVELICA</t>
        </is>
      </c>
      <c r="AC49" s="2" t="inlineStr">
        <is>
          <t>AMAZONAS</t>
        </is>
      </c>
      <c r="AD49" s="2" t="inlineStr">
        <is>
          <t>AREQUIPA</t>
        </is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inlineStr">
        <is>
          <t>CUSCO</t>
        </is>
      </c>
      <c r="Y50" s="2" t="inlineStr">
        <is>
          <t>SAN MARTIN</t>
        </is>
      </c>
      <c r="Z50" s="2" t="inlineStr">
        <is>
          <t>LAMBAYEQUE</t>
        </is>
      </c>
      <c r="AA50" s="2" t="inlineStr">
        <is>
          <t>AREQUIPA</t>
        </is>
      </c>
      <c r="AB50" s="2" t="inlineStr">
        <is>
          <t>HUANCAVELICA</t>
        </is>
      </c>
      <c r="AC50" s="2" t="inlineStr">
        <is>
          <t>LIMA</t>
        </is>
      </c>
      <c r="AD50" s="2" t="inlineStr">
        <is>
          <t>SAN MARTIN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inlineStr">
        <is>
          <t>APURIMAC</t>
        </is>
      </c>
      <c r="Y51" s="2" t="inlineStr">
        <is>
          <t>UCAYALI</t>
        </is>
      </c>
      <c r="Z51" s="2" t="inlineStr">
        <is>
          <t>CUSCO</t>
        </is>
      </c>
      <c r="AA51" s="2" t="inlineStr">
        <is>
          <t>AREQUIPA</t>
        </is>
      </c>
      <c r="AB51" s="2" t="inlineStr">
        <is>
          <t>HUANCAVELICA</t>
        </is>
      </c>
      <c r="AC51" s="2" t="inlineStr">
        <is>
          <t>HUANCAVELICA</t>
        </is>
      </c>
      <c r="AD51" s="2" t="inlineStr">
        <is>
          <t>PASCO</t>
        </is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inlineStr">
        <is>
          <t>AREQUIPA</t>
        </is>
      </c>
      <c r="Y52" s="2" t="inlineStr">
        <is>
          <t>LA LIBERTAD</t>
        </is>
      </c>
      <c r="Z52" s="2" t="inlineStr">
        <is>
          <t>LORETO</t>
        </is>
      </c>
      <c r="AA52" s="2" t="inlineStr">
        <is>
          <t>PIURA</t>
        </is>
      </c>
      <c r="AB52" s="2" t="inlineStr">
        <is>
          <t>HUANCAVELICA</t>
        </is>
      </c>
      <c r="AC52" s="2" t="inlineStr">
        <is>
          <t>LA LIBERTAD</t>
        </is>
      </c>
      <c r="AD52" s="2" t="inlineStr">
        <is>
          <t>HUANUCO</t>
        </is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inlineStr">
        <is>
          <t>AREQUIPA</t>
        </is>
      </c>
      <c r="Y53" s="2" t="inlineStr">
        <is>
          <t>CUSCO</t>
        </is>
      </c>
      <c r="Z53" s="2" t="inlineStr">
        <is>
          <t>LAMBAYEQUE</t>
        </is>
      </c>
      <c r="AA53" s="2" t="inlineStr">
        <is>
          <t>AREQUIPA</t>
        </is>
      </c>
      <c r="AB53" s="2" t="inlineStr">
        <is>
          <t>HUANCAVELICA</t>
        </is>
      </c>
      <c r="AC53" s="2" t="inlineStr">
        <is>
          <t>HUANUCO</t>
        </is>
      </c>
      <c r="AD53" s="2" t="inlineStr">
        <is>
          <t>APURIMAC</t>
        </is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inlineStr">
        <is>
          <t>AMAZONAS</t>
        </is>
      </c>
      <c r="Y54" s="2" t="inlineStr">
        <is>
          <t>UCAYALI</t>
        </is>
      </c>
      <c r="Z54" s="2" t="inlineStr">
        <is>
          <t>LAMBAYEQUE</t>
        </is>
      </c>
      <c r="AA54" s="2" t="inlineStr">
        <is>
          <t>PIURA</t>
        </is>
      </c>
      <c r="AB54" s="2" t="inlineStr">
        <is>
          <t>HUANCAVELICA</t>
        </is>
      </c>
      <c r="AC54" s="2" t="inlineStr">
        <is>
          <t>PASCO</t>
        </is>
      </c>
      <c r="AD54" s="2" t="inlineStr">
        <is>
          <t>APURIMAC</t>
        </is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inlineStr">
        <is>
          <t>AMAZONAS</t>
        </is>
      </c>
      <c r="Y55" s="2" t="inlineStr">
        <is>
          <t>MADRE DE DIOS</t>
        </is>
      </c>
      <c r="Z55" s="2" t="inlineStr">
        <is>
          <t>LAMBAYEQUE</t>
        </is>
      </c>
      <c r="AA55" s="2" t="inlineStr">
        <is>
          <t>LAMBAYEQUE</t>
        </is>
      </c>
      <c r="AB55" s="2" t="inlineStr">
        <is>
          <t>HUANCAVELICA</t>
        </is>
      </c>
      <c r="AC55" s="2" t="inlineStr">
        <is>
          <t>HUANCAVELICA</t>
        </is>
      </c>
      <c r="AD55" s="2" t="inlineStr">
        <is>
          <t>LIMA</t>
        </is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inlineStr">
        <is>
          <t>APURIMAC</t>
        </is>
      </c>
      <c r="Y56" s="2" t="inlineStr">
        <is>
          <t>CUSCO</t>
        </is>
      </c>
      <c r="Z56" s="2" t="inlineStr">
        <is>
          <t>LAMBAYEQUE</t>
        </is>
      </c>
      <c r="AA56" s="2" t="inlineStr">
        <is>
          <t>PIURA</t>
        </is>
      </c>
      <c r="AB56" s="2" t="inlineStr">
        <is>
          <t>HUANCAVELICA</t>
        </is>
      </c>
      <c r="AC56" s="2" t="inlineStr">
        <is>
          <t>AMAZONAS</t>
        </is>
      </c>
      <c r="AD56" s="2" t="inlineStr">
        <is>
          <t>CAJAMARCA</t>
        </is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inlineStr">
        <is>
          <t>AREQUIPA</t>
        </is>
      </c>
      <c r="Y57" s="2" t="inlineStr">
        <is>
          <t>SAN MARTIN</t>
        </is>
      </c>
      <c r="Z57" s="2" t="inlineStr">
        <is>
          <t>LIMA</t>
        </is>
      </c>
      <c r="AA57" s="2" t="inlineStr">
        <is>
          <t>APURIMAC</t>
        </is>
      </c>
      <c r="AB57" s="2" t="inlineStr">
        <is>
          <t>HUANCAVELICA</t>
        </is>
      </c>
      <c r="AC57" s="2" t="inlineStr">
        <is>
          <t>CUSCO</t>
        </is>
      </c>
      <c r="AD57" s="2" t="inlineStr">
        <is>
          <t>LIMA</t>
        </is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inlineStr">
        <is>
          <t>APURIMAC</t>
        </is>
      </c>
      <c r="Y58" s="2" t="inlineStr">
        <is>
          <t>APURIMAC</t>
        </is>
      </c>
      <c r="Z58" s="2" t="inlineStr">
        <is>
          <t>TACNA</t>
        </is>
      </c>
      <c r="AA58" s="2" t="inlineStr">
        <is>
          <t>LA LIBERTAD</t>
        </is>
      </c>
      <c r="AB58" s="2" t="inlineStr">
        <is>
          <t>HUANCAVELICA</t>
        </is>
      </c>
      <c r="AC58" s="2" t="inlineStr">
        <is>
          <t>AYACUCHO</t>
        </is>
      </c>
      <c r="AD58" s="2" t="inlineStr">
        <is>
          <t>HUANUCO</t>
        </is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inlineStr">
        <is>
          <t>CUSCO</t>
        </is>
      </c>
      <c r="Y59" s="2" t="inlineStr">
        <is>
          <t>SAN MARTIN</t>
        </is>
      </c>
      <c r="Z59" s="2" t="inlineStr">
        <is>
          <t>LIMA</t>
        </is>
      </c>
      <c r="AA59" s="2" t="inlineStr">
        <is>
          <t>MOQUEGUA</t>
        </is>
      </c>
      <c r="AB59" s="2" t="inlineStr">
        <is>
          <t>JUNIN</t>
        </is>
      </c>
      <c r="AC59" s="2" t="inlineStr">
        <is>
          <t>HUANCAVELICA</t>
        </is>
      </c>
      <c r="AD59" s="2" t="inlineStr">
        <is>
          <t>LAMBAYEQUE</t>
        </is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inlineStr">
        <is>
          <t>AYACUCHO</t>
        </is>
      </c>
      <c r="Y60" s="2" t="inlineStr">
        <is>
          <t>PUNO</t>
        </is>
      </c>
      <c r="Z60" s="2" t="inlineStr">
        <is>
          <t>TACNA</t>
        </is>
      </c>
      <c r="AA60" s="2" t="inlineStr">
        <is>
          <t>AREQUIPA</t>
        </is>
      </c>
      <c r="AB60" s="2" t="inlineStr">
        <is>
          <t>AYACUCHO</t>
        </is>
      </c>
      <c r="AC60" s="2" t="inlineStr">
        <is>
          <t>HUANUCO</t>
        </is>
      </c>
      <c r="AD60" s="2" t="inlineStr">
        <is>
          <t>PASCO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inlineStr">
        <is>
          <t>PUNO</t>
        </is>
      </c>
      <c r="Y61" s="2" t="inlineStr">
        <is>
          <t>PUNO</t>
        </is>
      </c>
      <c r="Z61" s="2" t="inlineStr">
        <is>
          <t>AYACUCHO</t>
        </is>
      </c>
      <c r="AA61" s="2" t="inlineStr">
        <is>
          <t>AREQUIPA</t>
        </is>
      </c>
      <c r="AB61" s="2" t="inlineStr">
        <is>
          <t>HUANCAVELICA</t>
        </is>
      </c>
      <c r="AC61" s="2" t="inlineStr">
        <is>
          <t>UCAYALI</t>
        </is>
      </c>
      <c r="AD61" s="2" t="inlineStr">
        <is>
          <t>HUANUCO</t>
        </is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inlineStr">
        <is>
          <t>AYACUCHO</t>
        </is>
      </c>
      <c r="Y62" s="2" t="inlineStr">
        <is>
          <t>CUSCO</t>
        </is>
      </c>
      <c r="Z62" s="2" t="inlineStr">
        <is>
          <t>TACNA</t>
        </is>
      </c>
      <c r="AA62" s="2" t="inlineStr">
        <is>
          <t>ANCASH</t>
        </is>
      </c>
      <c r="AB62" s="2" t="inlineStr">
        <is>
          <t>HUANCAVELICA</t>
        </is>
      </c>
      <c r="AC62" s="2" t="inlineStr">
        <is>
          <t>UCAYALI</t>
        </is>
      </c>
      <c r="AD62" s="2" t="inlineStr">
        <is>
          <t>AYACUCHO</t>
        </is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inlineStr">
        <is>
          <t>PUNO</t>
        </is>
      </c>
      <c r="Y63" s="2" t="inlineStr">
        <is>
          <t>LIMA</t>
        </is>
      </c>
      <c r="Z63" s="2" t="inlineStr">
        <is>
          <t>LORETO</t>
        </is>
      </c>
      <c r="AA63" s="2" t="inlineStr">
        <is>
          <t>PIURA</t>
        </is>
      </c>
      <c r="AB63" s="2" t="inlineStr">
        <is>
          <t>HUANCAVELICA</t>
        </is>
      </c>
      <c r="AC63" s="2" t="inlineStr">
        <is>
          <t>CAJAMARCA</t>
        </is>
      </c>
      <c r="AD63" s="2" t="inlineStr">
        <is>
          <t>HUANUCO</t>
        </is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inlineStr">
        <is>
          <t>PUNO</t>
        </is>
      </c>
      <c r="Z64" s="2" t="inlineStr">
        <is>
          <t>AYACUCHO</t>
        </is>
      </c>
      <c r="AA64" s="2" t="inlineStr">
        <is>
          <t>PIURA</t>
        </is>
      </c>
      <c r="AB64" s="2" t="inlineStr">
        <is>
          <t>HUANCAVELICA</t>
        </is>
      </c>
      <c r="AC64" s="2" t="inlineStr">
        <is>
          <t>PASCO</t>
        </is>
      </c>
      <c r="AD64" s="2" t="inlineStr">
        <is>
          <t>APURIMAC</t>
        </is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inlineStr">
        <is>
          <t>LA LIBERTAD</t>
        </is>
      </c>
      <c r="AA65" s="2" t="inlineStr">
        <is>
          <t>PIURA</t>
        </is>
      </c>
      <c r="AB65" s="2" t="inlineStr">
        <is>
          <t>HUANCAVELICA</t>
        </is>
      </c>
      <c r="AC65" s="2" t="inlineStr">
        <is>
          <t>PIURA</t>
        </is>
      </c>
      <c r="AD65" s="2" t="inlineStr">
        <is>
          <t>CAJAMARCA</t>
        </is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inlineStr">
        <is>
          <t>TACNA</t>
        </is>
      </c>
      <c r="AA66" s="2" t="inlineStr">
        <is>
          <t>PIURA</t>
        </is>
      </c>
      <c r="AB66" s="2" t="inlineStr">
        <is>
          <t>HUANCAVELICA</t>
        </is>
      </c>
      <c r="AC66" s="2" t="inlineStr">
        <is>
          <t>ANCASH</t>
        </is>
      </c>
      <c r="AD66" s="2" t="inlineStr">
        <is>
          <t>AYACUCHO</t>
        </is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inlineStr">
        <is>
          <t>HUANUCO</t>
        </is>
      </c>
      <c r="AA67" s="2" t="inlineStr">
        <is>
          <t>MOQUEGUA</t>
        </is>
      </c>
      <c r="AB67" s="2" t="inlineStr">
        <is>
          <t>HUANCAVELICA</t>
        </is>
      </c>
      <c r="AC67" s="2" t="inlineStr">
        <is>
          <t>CUSCO</t>
        </is>
      </c>
      <c r="AD67" s="2" t="inlineStr">
        <is>
          <t>CAJAMARCA</t>
        </is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inlineStr">
        <is>
          <t>JUNIN</t>
        </is>
      </c>
      <c r="AA68" s="2" t="inlineStr">
        <is>
          <t>AREQUIPA</t>
        </is>
      </c>
      <c r="AB68" s="2" t="inlineStr">
        <is>
          <t>HUANCAVELICA</t>
        </is>
      </c>
      <c r="AC68" s="2" t="inlineStr">
        <is>
          <t>CUSCO</t>
        </is>
      </c>
      <c r="AD68" s="2" t="inlineStr">
        <is>
          <t>AMAZONAS</t>
        </is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inlineStr">
        <is>
          <t>UCAYALI</t>
        </is>
      </c>
      <c r="AA69" s="2" t="inlineStr">
        <is>
          <t>LAMBAYEQUE</t>
        </is>
      </c>
      <c r="AB69" s="2" t="inlineStr">
        <is>
          <t>HUANCAVELICA</t>
        </is>
      </c>
      <c r="AC69" s="2" t="inlineStr">
        <is>
          <t>AMAZONAS</t>
        </is>
      </c>
      <c r="AD69" s="2" t="inlineStr">
        <is>
          <t>CAJAMARCA</t>
        </is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inlineStr">
        <is>
          <t>LA LIBERTAD</t>
        </is>
      </c>
      <c r="AA70" s="2" t="inlineStr">
        <is>
          <t>LAMBAYEQUE</t>
        </is>
      </c>
      <c r="AB70" s="2" t="inlineStr">
        <is>
          <t>HUANCAVELICA</t>
        </is>
      </c>
      <c r="AC70" s="2" t="inlineStr">
        <is>
          <t>CUSCO</t>
        </is>
      </c>
      <c r="AD70" s="2" t="inlineStr">
        <is>
          <t>CUSCO</t>
        </is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inlineStr">
        <is>
          <t>CUSCO</t>
        </is>
      </c>
      <c r="AA71" s="2" t="inlineStr">
        <is>
          <t>AREQUIPA</t>
        </is>
      </c>
      <c r="AB71" s="2" t="inlineStr">
        <is>
          <t>HUANCAVELICA</t>
        </is>
      </c>
      <c r="AC71" s="2" t="inlineStr">
        <is>
          <t>LIMA</t>
        </is>
      </c>
      <c r="AD71" s="2" t="inlineStr">
        <is>
          <t>LA LIBERTAD</t>
        </is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inlineStr">
        <is>
          <t>LIMA</t>
        </is>
      </c>
      <c r="AA72" s="2" t="inlineStr">
        <is>
          <t>AREQUIPA</t>
        </is>
      </c>
      <c r="AB72" s="2" t="inlineStr">
        <is>
          <t>HUANCAVELICA</t>
        </is>
      </c>
      <c r="AC72" s="2" t="inlineStr">
        <is>
          <t>LAMBAYEQUE</t>
        </is>
      </c>
      <c r="AD72" s="2" t="inlineStr">
        <is>
          <t>CAJAMARCA</t>
        </is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inlineStr">
        <is>
          <t>MOQUEGUA</t>
        </is>
      </c>
      <c r="AA73" s="2" t="inlineStr">
        <is>
          <t>LAMBAYEQUE</t>
        </is>
      </c>
      <c r="AB73" s="2" t="inlineStr">
        <is>
          <t>HUANCAVELICA</t>
        </is>
      </c>
      <c r="AC73" s="2" t="inlineStr">
        <is>
          <t>CAJAMARCA</t>
        </is>
      </c>
      <c r="AD73" s="2" t="inlineStr">
        <is>
          <t>CAJAMARCA</t>
        </is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inlineStr">
        <is>
          <t>AREQUIPA</t>
        </is>
      </c>
      <c r="AB74" s="2" t="inlineStr">
        <is>
          <t>HUANCAVELICA</t>
        </is>
      </c>
      <c r="AC74" s="2" t="inlineStr">
        <is>
          <t>PIURA</t>
        </is>
      </c>
      <c r="AD74" s="2" t="inlineStr">
        <is>
          <t>CAJAMARCA</t>
        </is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inlineStr">
        <is>
          <t>AREQUIPA</t>
        </is>
      </c>
      <c r="AB75" s="2" t="inlineStr">
        <is>
          <t>HUANCAVELICA</t>
        </is>
      </c>
      <c r="AC75" s="2" t="inlineStr">
        <is>
          <t>HUANCAVELICA</t>
        </is>
      </c>
      <c r="AD75" s="2" t="inlineStr">
        <is>
          <t>CAJAMARCA</t>
        </is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inlineStr">
        <is>
          <t>LAMBAYEQUE</t>
        </is>
      </c>
      <c r="AB76" s="2" t="inlineStr">
        <is>
          <t>HUANCAVELICA</t>
        </is>
      </c>
      <c r="AC76" s="2" t="inlineStr">
        <is>
          <t>CUSCO</t>
        </is>
      </c>
      <c r="AD76" s="2" t="inlineStr">
        <is>
          <t>LA LIBERTAD</t>
        </is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inlineStr">
        <is>
          <t>TUMBES</t>
        </is>
      </c>
      <c r="AB77" s="2" t="inlineStr">
        <is>
          <t>HUANCAVELICA</t>
        </is>
      </c>
      <c r="AC77" s="2" t="inlineStr">
        <is>
          <t>CUSCO</t>
        </is>
      </c>
      <c r="AD77" s="2" t="inlineStr">
        <is>
          <t>CAJAMARCA</t>
        </is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MOQUEGUA</t>
        </is>
      </c>
      <c r="AB78" s="2" t="inlineStr">
        <is>
          <t>HUANCAVELICA</t>
        </is>
      </c>
      <c r="AC78" s="2" t="inlineStr">
        <is>
          <t>CAJAMARCA</t>
        </is>
      </c>
      <c r="AD78" s="2" t="inlineStr">
        <is>
          <t>CAJAMARCA</t>
        </is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inlineStr">
        <is>
          <t>LA LIBERTAD</t>
        </is>
      </c>
      <c r="AB79" s="2" t="inlineStr">
        <is>
          <t>HUANCAVELICA</t>
        </is>
      </c>
      <c r="AC79" s="2" t="inlineStr">
        <is>
          <t>HUANCAVELICA</t>
        </is>
      </c>
      <c r="AD79" s="2" t="inlineStr">
        <is>
          <t>CUSCO</t>
        </is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inlineStr">
        <is>
          <t>TUMBES</t>
        </is>
      </c>
      <c r="AB80" s="2" t="inlineStr">
        <is>
          <t>HUANCAVELICA</t>
        </is>
      </c>
      <c r="AC80" s="2" t="inlineStr">
        <is>
          <t>HUANUCO</t>
        </is>
      </c>
      <c r="AD80" s="2" t="inlineStr">
        <is>
          <t>CAJAMARCA</t>
        </is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inlineStr">
        <is>
          <t>AREQUIPA</t>
        </is>
      </c>
      <c r="AB81" s="2" t="inlineStr">
        <is>
          <t>HUANCAVELICA</t>
        </is>
      </c>
      <c r="AC81" s="2" t="inlineStr">
        <is>
          <t>PUNO</t>
        </is>
      </c>
      <c r="AD81" s="2" t="inlineStr">
        <is>
          <t>AYACUCHO</t>
        </is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inlineStr">
        <is>
          <t>LA LIBERTAD</t>
        </is>
      </c>
      <c r="AB82" s="2" t="inlineStr">
        <is>
          <t>LA LIBERTAD</t>
        </is>
      </c>
      <c r="AC82" s="2" t="inlineStr">
        <is>
          <t>CUSCO</t>
        </is>
      </c>
      <c r="AD82" s="2" t="inlineStr">
        <is>
          <t>AYACUCHO</t>
        </is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inlineStr">
        <is>
          <t>AREQUIPA</t>
        </is>
      </c>
      <c r="AB83" s="2" t="inlineStr">
        <is>
          <t>LA LIBERTAD</t>
        </is>
      </c>
      <c r="AC83" s="2" t="inlineStr">
        <is>
          <t>APURIMAC</t>
        </is>
      </c>
      <c r="AD83" s="2" t="inlineStr">
        <is>
          <t>CAJAMARCA</t>
        </is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inlineStr">
        <is>
          <t>LA LIBERTAD</t>
        </is>
      </c>
      <c r="AB84" s="2" t="inlineStr">
        <is>
          <t>LA LIBERTAD</t>
        </is>
      </c>
      <c r="AC84" s="2" t="inlineStr">
        <is>
          <t>SAN MARTIN</t>
        </is>
      </c>
      <c r="AD84" s="2" t="inlineStr">
        <is>
          <t>CAJAMARCA</t>
        </is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inlineStr">
        <is>
          <t>LAMBAYEQUE</t>
        </is>
      </c>
      <c r="AB85" s="2" t="inlineStr">
        <is>
          <t>AYACUCHO</t>
        </is>
      </c>
      <c r="AC85" s="2" t="inlineStr">
        <is>
          <t>AYACUCHO</t>
        </is>
      </c>
      <c r="AD85" s="2" t="inlineStr">
        <is>
          <t>AYACUCHO</t>
        </is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inlineStr">
        <is>
          <t>PIURA</t>
        </is>
      </c>
      <c r="AB86" s="2" t="inlineStr">
        <is>
          <t>CAJAMARCA</t>
        </is>
      </c>
      <c r="AC86" s="2" t="inlineStr">
        <is>
          <t>ANCASH</t>
        </is>
      </c>
      <c r="AD86" s="2" t="inlineStr">
        <is>
          <t>CAJAMARCA</t>
        </is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inlineStr">
        <is>
          <t>LAMBAYEQUE</t>
        </is>
      </c>
      <c r="AB87" s="2" t="inlineStr">
        <is>
          <t>AYACUCHO</t>
        </is>
      </c>
      <c r="AC87" s="2" t="inlineStr">
        <is>
          <t>AMAZONAS</t>
        </is>
      </c>
      <c r="AD87" s="2" t="inlineStr">
        <is>
          <t>AYACUCHO</t>
        </is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inlineStr">
        <is>
          <t>AYACUCHO</t>
        </is>
      </c>
      <c r="AC88" s="2" t="inlineStr">
        <is>
          <t>PIURA</t>
        </is>
      </c>
      <c r="AD88" s="2" t="inlineStr">
        <is>
          <t>AYACUCHO</t>
        </is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inlineStr">
        <is>
          <t>CUSCO</t>
        </is>
      </c>
      <c r="AC89" s="2" t="inlineStr">
        <is>
          <t>ANCASH</t>
        </is>
      </c>
      <c r="AD89" s="2" t="inlineStr">
        <is>
          <t>AYACUCHO</t>
        </is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inlineStr">
        <is>
          <t>HUANCAVELICA</t>
        </is>
      </c>
      <c r="AC90" s="2" t="inlineStr">
        <is>
          <t>CUSCO</t>
        </is>
      </c>
      <c r="AD90" s="2" t="inlineStr">
        <is>
          <t>PASCO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inlineStr">
        <is>
          <t>HUANCAVELICA</t>
        </is>
      </c>
      <c r="AC91" s="2" t="inlineStr">
        <is>
          <t>MADRE DE DIOS</t>
        </is>
      </c>
      <c r="AD91" s="2" t="inlineStr">
        <is>
          <t>AYACUCHO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inlineStr">
        <is>
          <t>HUANCAVELICA</t>
        </is>
      </c>
      <c r="AC92" s="2" t="inlineStr">
        <is>
          <t>ANCASH</t>
        </is>
      </c>
      <c r="AD92" s="2" t="inlineStr">
        <is>
          <t>CAJAMARCA</t>
        </is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inlineStr">
        <is>
          <t>HUANCAVELICA</t>
        </is>
      </c>
      <c r="AC93" s="2" t="inlineStr">
        <is>
          <t>AYACUCHO</t>
        </is>
      </c>
      <c r="AD93" s="2" t="inlineStr">
        <is>
          <t>JUNIN</t>
        </is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inlineStr">
        <is>
          <t>HUANCAVELICA</t>
        </is>
      </c>
      <c r="AC94" s="2" t="inlineStr">
        <is>
          <t>CUSCO</t>
        </is>
      </c>
      <c r="AD94" s="2" t="inlineStr">
        <is>
          <t>CAJAMARCA</t>
        </is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inlineStr">
        <is>
          <t>HUANCAVELICA</t>
        </is>
      </c>
      <c r="AC95" s="2" t="inlineStr">
        <is>
          <t>SAN MARTIN</t>
        </is>
      </c>
      <c r="AD95" s="2" t="inlineStr">
        <is>
          <t>MADRE DE DIOS</t>
        </is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inlineStr">
        <is>
          <t>HUANCAVELICA</t>
        </is>
      </c>
      <c r="AC96" s="2" t="inlineStr">
        <is>
          <t>PASCO</t>
        </is>
      </c>
      <c r="AD96" s="2" t="inlineStr">
        <is>
          <t>AMAZONAS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inlineStr">
        <is>
          <t>CUSCO</t>
        </is>
      </c>
      <c r="AC97" s="2" t="inlineStr">
        <is>
          <t>LORETO</t>
        </is>
      </c>
      <c r="AD97" s="2" t="inlineStr">
        <is>
          <t>CAJAMARCA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inlineStr">
        <is>
          <t>JUNIN</t>
        </is>
      </c>
      <c r="AC98" s="2" t="inlineStr">
        <is>
          <t>HUANCAVELICA</t>
        </is>
      </c>
      <c r="AD98" s="2" t="inlineStr">
        <is>
          <t>AYACUCHO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inlineStr">
        <is>
          <t>JUNIN</t>
        </is>
      </c>
      <c r="AC99" s="2" t="inlineStr">
        <is>
          <t>HUANCAVELICA</t>
        </is>
      </c>
      <c r="AD99" s="2" t="inlineStr">
        <is>
          <t>AREQUIPA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inlineStr">
        <is>
          <t>JUNIN</t>
        </is>
      </c>
      <c r="AC100" s="2" t="inlineStr">
        <is>
          <t>SAN MARTIN</t>
        </is>
      </c>
      <c r="AD100" s="2" t="inlineStr">
        <is>
          <t>AMAZONAS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inlineStr">
        <is>
          <t>JUNIN</t>
        </is>
      </c>
      <c r="AC101" s="2" t="inlineStr">
        <is>
          <t>LIMA</t>
        </is>
      </c>
      <c r="AD101" s="2" t="inlineStr">
        <is>
          <t>AREQUIPA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inlineStr">
        <is>
          <t>JUNIN</t>
        </is>
      </c>
      <c r="AC102" s="2" t="inlineStr">
        <is>
          <t>PUNO</t>
        </is>
      </c>
      <c r="AD102" s="2" t="inlineStr">
        <is>
          <t>AYACUCHO</t>
        </is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inlineStr">
        <is>
          <t>JUNIN</t>
        </is>
      </c>
      <c r="AC103" s="2" t="inlineStr">
        <is>
          <t>HUANCAVELICA</t>
        </is>
      </c>
      <c r="AD103" s="2" t="inlineStr">
        <is>
          <t>AREQUIPA</t>
        </is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inlineStr">
        <is>
          <t>JUNIN</t>
        </is>
      </c>
      <c r="AC104" s="2" t="inlineStr">
        <is>
          <t>CUSCO</t>
        </is>
      </c>
      <c r="AD104" s="2" t="inlineStr">
        <is>
          <t>AREQUIPA</t>
        </is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inlineStr">
        <is>
          <t>JUNIN</t>
        </is>
      </c>
      <c r="AC105" s="2" t="inlineStr">
        <is>
          <t>APURIMAC</t>
        </is>
      </c>
      <c r="AD105" s="2" t="inlineStr">
        <is>
          <t>CUSCO</t>
        </is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inlineStr">
        <is>
          <t>CUSCO</t>
        </is>
      </c>
      <c r="AC106" s="2" t="inlineStr">
        <is>
          <t>AYACUCHO</t>
        </is>
      </c>
      <c r="AD106" s="2" t="inlineStr">
        <is>
          <t>PASCO</t>
        </is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inlineStr">
        <is>
          <t>AYACUCHO</t>
        </is>
      </c>
      <c r="AC107" s="2" t="inlineStr">
        <is>
          <t>LA LIBERTAD</t>
        </is>
      </c>
      <c r="AD107" s="2" t="inlineStr">
        <is>
          <t>AREQUIPA</t>
        </is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inlineStr">
        <is>
          <t>HUANCAVELICA</t>
        </is>
      </c>
      <c r="AC108" s="2" t="inlineStr">
        <is>
          <t>ANCASH</t>
        </is>
      </c>
      <c r="AD108" s="2" t="inlineStr">
        <is>
          <t>CUSCO</t>
        </is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inlineStr">
        <is>
          <t>HUANCAVELICA</t>
        </is>
      </c>
      <c r="AC109" s="2" t="inlineStr">
        <is>
          <t>LIMA</t>
        </is>
      </c>
      <c r="AD109" s="2" t="inlineStr">
        <is>
          <t>CAJAMARCA</t>
        </is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inlineStr">
        <is>
          <t>HUANCAVELICA</t>
        </is>
      </c>
      <c r="AC110" s="2" t="inlineStr">
        <is>
          <t>CUSCO</t>
        </is>
      </c>
      <c r="AD110" s="2" t="inlineStr">
        <is>
          <t>AMAZONAS</t>
        </is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inlineStr">
        <is>
          <t>HUANCAVELICA</t>
        </is>
      </c>
      <c r="AC111" s="2" t="inlineStr">
        <is>
          <t>TACNA</t>
        </is>
      </c>
      <c r="AD111" s="2" t="inlineStr">
        <is>
          <t>AREQUIPA</t>
        </is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inlineStr">
        <is>
          <t>HUANCAVELICA</t>
        </is>
      </c>
      <c r="AC112" s="2" t="inlineStr">
        <is>
          <t>CAJAMARCA</t>
        </is>
      </c>
      <c r="AD112" s="2" t="inlineStr">
        <is>
          <t>HUANCAVELICA</t>
        </is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inlineStr">
        <is>
          <t>HUANCAVELICA</t>
        </is>
      </c>
      <c r="AC113" s="2" t="inlineStr">
        <is>
          <t>CUSCO</t>
        </is>
      </c>
      <c r="AD113" s="2" t="inlineStr">
        <is>
          <t>AYACUCHO</t>
        </is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inlineStr">
        <is>
          <t>HUANCAVELICA</t>
        </is>
      </c>
      <c r="AC114" s="2" t="inlineStr">
        <is>
          <t>HUANUCO</t>
        </is>
      </c>
      <c r="AD114" s="2" t="inlineStr">
        <is>
          <t>AYACUCHO</t>
        </is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inlineStr">
        <is>
          <t>HUANCAVELICA</t>
        </is>
      </c>
      <c r="AC115" s="2" t="inlineStr">
        <is>
          <t>TACNA</t>
        </is>
      </c>
      <c r="AD115" s="2" t="inlineStr">
        <is>
          <t>MADRE DE DIOS</t>
        </is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inlineStr">
        <is>
          <t>APURIMAC</t>
        </is>
      </c>
      <c r="AC116" s="2" t="inlineStr">
        <is>
          <t>CUSCO</t>
        </is>
      </c>
      <c r="AD116" s="2" t="inlineStr">
        <is>
          <t>AMAZONAS</t>
        </is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inlineStr">
        <is>
          <t>APURIMAC</t>
        </is>
      </c>
      <c r="AC117" s="2" t="inlineStr">
        <is>
          <t>LA LIBERTAD</t>
        </is>
      </c>
      <c r="AD117" s="2" t="inlineStr">
        <is>
          <t>AYACUCHO</t>
        </is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inlineStr">
        <is>
          <t>APURIMAC</t>
        </is>
      </c>
      <c r="AC118" s="2" t="inlineStr">
        <is>
          <t>LIMA</t>
        </is>
      </c>
      <c r="AD118" s="2" t="inlineStr">
        <is>
          <t>AMAZONAS</t>
        </is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inlineStr">
        <is>
          <t>HUANUCO</t>
        </is>
      </c>
      <c r="AC119" s="2" t="inlineStr">
        <is>
          <t>LORETO</t>
        </is>
      </c>
      <c r="AD119" s="2" t="inlineStr">
        <is>
          <t>AYACUCHO</t>
        </is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inlineStr">
        <is>
          <t>HUANCAVELICA</t>
        </is>
      </c>
      <c r="AC120" s="2" t="inlineStr">
        <is>
          <t>LA LIBERTAD</t>
        </is>
      </c>
      <c r="AD120" s="2" t="inlineStr">
        <is>
          <t>APURIMAC</t>
        </is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inlineStr">
        <is>
          <t>LA LIBERTAD</t>
        </is>
      </c>
      <c r="AC121" s="2" t="inlineStr">
        <is>
          <t>PIURA</t>
        </is>
      </c>
      <c r="AD121" s="2" t="inlineStr">
        <is>
          <t>AYACUCHO</t>
        </is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inlineStr">
        <is>
          <t>LA LIBERTAD</t>
        </is>
      </c>
      <c r="AC122" s="2" t="inlineStr">
        <is>
          <t>CAJAMARCA</t>
        </is>
      </c>
      <c r="AD122" s="2" t="inlineStr">
        <is>
          <t>AYACUCHO</t>
        </is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inlineStr">
        <is>
          <t>SAN MARTIN</t>
        </is>
      </c>
      <c r="AD123" s="2" t="inlineStr">
        <is>
          <t>SAN MARTIN</t>
        </is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inlineStr">
        <is>
          <t>UCAYALI</t>
        </is>
      </c>
      <c r="AD124" s="2" t="inlineStr">
        <is>
          <t>AYACUCHO</t>
        </is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inlineStr">
        <is>
          <t>HUANUCO</t>
        </is>
      </c>
      <c r="AD125" s="2" t="inlineStr">
        <is>
          <t>HUANUCO</t>
        </is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inlineStr">
        <is>
          <t>AYACUCHO</t>
        </is>
      </c>
      <c r="AD126" s="2" t="inlineStr">
        <is>
          <t>HUANUCO</t>
        </is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inlineStr">
        <is>
          <t>PUNO</t>
        </is>
      </c>
      <c r="AD127" s="2" t="inlineStr">
        <is>
          <t>AYACUCHO</t>
        </is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inlineStr">
        <is>
          <t>APURIMAC</t>
        </is>
      </c>
      <c r="AD128" s="2" t="inlineStr">
        <is>
          <t>TACNA</t>
        </is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inlineStr">
        <is>
          <t>HUANUCO</t>
        </is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inlineStr">
        <is>
          <t>LAMBAYEQUE</t>
        </is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inlineStr">
        <is>
          <t>AYACUCHO</t>
        </is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inlineStr">
        <is>
          <t>ICA</t>
        </is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inlineStr">
        <is>
          <t>HUANUCO</t>
        </is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inlineStr">
        <is>
          <t>AMAZONAS</t>
        </is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inlineStr">
        <is>
          <t>AYACUCHO</t>
        </is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inlineStr">
        <is>
          <t>HUANUCO</t>
        </is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inlineStr">
        <is>
          <t>HUANUCO</t>
        </is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inlineStr">
        <is>
          <t>AYACUCHO</t>
        </is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inlineStr">
        <is>
          <t>CAJAMARCA</t>
        </is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inlineStr">
        <is>
          <t>AYACUCHO</t>
        </is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inlineStr">
        <is>
          <t>HUANUCO</t>
        </is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inlineStr">
        <is>
          <t>HUANUCO</t>
        </is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inlineStr">
        <is>
          <t>AREQUIPA</t>
        </is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inlineStr">
        <is>
          <t>ICA</t>
        </is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inlineStr">
        <is>
          <t>LIMA</t>
        </is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inlineStr">
        <is>
          <t>AREQUIPA</t>
        </is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inlineStr">
        <is>
          <t>LIMA</t>
        </is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inlineStr">
        <is>
          <t>CAJAMARCA</t>
        </is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inlineStr">
        <is>
          <t>CAJAMARCA</t>
        </is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inlineStr">
        <is>
          <t>CAJAMARCA</t>
        </is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inlineStr">
        <is>
          <t>CAJAMARCA</t>
        </is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inlineStr">
        <is>
          <t>CAJAMARCA</t>
        </is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inlineStr">
        <is>
          <t>CAJAMARCA</t>
        </is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inlineStr">
        <is>
          <t>AMAZONAS</t>
        </is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inlineStr">
        <is>
          <t>CAJAMARCA</t>
        </is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inlineStr">
        <is>
          <t>CAJAMARCA</t>
        </is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inlineStr">
        <is>
          <t>CAJAMARCA</t>
        </is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inlineStr">
        <is>
          <t>AYACUCHO</t>
        </is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inlineStr">
        <is>
          <t>CUSCO</t>
        </is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inlineStr">
        <is>
          <t>CAJAMARCA</t>
        </is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inlineStr">
        <is>
          <t>AREQUIPA</t>
        </is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inlineStr">
        <is>
          <t>CAJAMARCA</t>
        </is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inlineStr">
        <is>
          <t>AYACUCHO</t>
        </is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inlineStr">
        <is>
          <t>AYACUCHO</t>
        </is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inlineStr">
        <is>
          <t>AYACUCHO</t>
        </is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inlineStr">
        <is>
          <t>AYACUCHO</t>
        </is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inlineStr">
        <is>
          <t>AYACUCHO</t>
        </is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inlineStr">
        <is>
          <t>AMAZONAS</t>
        </is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inlineStr">
        <is>
          <t>AYACUCHO</t>
        </is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inlineStr">
        <is>
          <t>AYACUCHO</t>
        </is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inlineStr">
        <is>
          <t>PASCO</t>
        </is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inlineStr">
        <is>
          <t>AMAZONAS</t>
        </is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inlineStr">
        <is>
          <t>JUNIN</t>
        </is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inlineStr">
        <is>
          <t>AYACUCHO</t>
        </is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inlineStr">
        <is>
          <t>HUANUCO</t>
        </is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inlineStr">
        <is>
          <t>AMAZONAS</t>
        </is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inlineStr">
        <is>
          <t>TACNA</t>
        </is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inlineStr">
        <is>
          <t>AMAZONAS</t>
        </is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inlineStr">
        <is>
          <t>AYACUCHO</t>
        </is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inlineStr">
        <is>
          <t>CAJAMARCA</t>
        </is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inlineStr">
        <is>
          <t>HUANUCO</t>
        </is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inlineStr">
        <is>
          <t>HUANUCO</t>
        </is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inlineStr">
        <is>
          <t>AYACUCHO</t>
        </is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inlineStr">
        <is>
          <t>AYACUCHO</t>
        </is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inlineStr">
        <is>
          <t>HUANUCO</t>
        </is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inlineStr">
        <is>
          <t>CAJAMARCA</t>
        </is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inlineStr">
        <is>
          <t>HUANUCO</t>
        </is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inlineStr">
        <is>
          <t>AMAZONAS</t>
        </is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inlineStr">
        <is>
          <t>AYACUCHO</t>
        </is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inlineStr">
        <is>
          <t>AMAZONAS</t>
        </is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inlineStr">
        <is>
          <t>AYACUCHO</t>
        </is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inlineStr">
        <is>
          <t>AREQUIPA</t>
        </is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inlineStr">
        <is>
          <t>AYACUCHO</t>
        </is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inlineStr">
        <is>
          <t>CUSCO</t>
        </is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inlineStr">
        <is>
          <t>AYACUCHO</t>
        </is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inlineStr">
        <is>
          <t>CUSCO</t>
        </is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inlineStr">
        <is>
          <t>AYACUCHO</t>
        </is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inlineStr">
        <is>
          <t>LAMBAYEQUE</t>
        </is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inlineStr">
        <is>
          <t>AREQUIPA</t>
        </is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inlineStr">
        <is>
          <t>MADRE DE DIOS</t>
        </is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inlineStr">
        <is>
          <t>HUANUCO</t>
        </is>
      </c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inlineStr">
        <is>
          <t>CUSCO</t>
        </is>
      </c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inlineStr">
        <is>
          <t>AYACUCHO</t>
        </is>
      </c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inlineStr">
        <is>
          <t>HUANUCO</t>
        </is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inlineStr">
        <is>
          <t>AREQUIPA</t>
        </is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inlineStr">
        <is>
          <t>PIURA</t>
        </is>
      </c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inlineStr">
        <is>
          <t>JUNIN</t>
        </is>
      </c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inlineStr">
        <is>
          <t>AYACUCHO</t>
        </is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inlineStr">
        <is>
          <t>AYACUCHO</t>
        </is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inlineStr">
        <is>
          <t>AYACUCHO</t>
        </is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inlineStr">
        <is>
          <t>ICA</t>
        </is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inlineStr">
        <is>
          <t>PUNO</t>
        </is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inlineStr">
        <is>
          <t>AREQUIPA</t>
        </is>
      </c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inlineStr">
        <is>
          <t>AYACUCHO</t>
        </is>
      </c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inlineStr">
        <is>
          <t>AREQUIPA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2026-10-14T00:01:58Z</dcterms:created>
  <dcterms:modified xmlns:dcterms="http://purl.org/dc/terms/" xmlns:xsi="http://www.w3.org/2001/XMLSchema-instance" xsi:type="dcterms:W3CDTF">2026-10-14T00:01:58Z</dcterms:modified>
</cp:coreProperties>
</file>