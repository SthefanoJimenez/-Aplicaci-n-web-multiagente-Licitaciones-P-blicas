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bensonhilario/Documents/App Licitaciones/-Aplicaci-n-web-multiagente-Licitaciones-P-blicas/app/tests/"/>
    </mc:Choice>
  </mc:AlternateContent>
  <xr:revisionPtr revIDLastSave="0" documentId="13_ncr:1_{EE7AC1D0-0E38-7C42-BB60-2D3CC9CBD10E}" xr6:coauthVersionLast="47" xr6:coauthVersionMax="47" xr10:uidLastSave="{00000000-0000-0000-0000-000000000000}"/>
  <bookViews>
    <workbookView xWindow="0" yWindow="600" windowWidth="44800" windowHeight="23520" xr2:uid="{00000000-000D-0000-FFFF-FFFF00000000}"/>
  </bookViews>
  <sheets>
    <sheet name="Control" sheetId="1" r:id="rId1"/>
    <sheet name="Preci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F31" i="1"/>
  <c r="E31" i="1"/>
  <c r="L31" i="1" s="1"/>
  <c r="D31" i="1"/>
  <c r="M31" i="1" s="1"/>
  <c r="G30" i="1"/>
  <c r="F30" i="1"/>
  <c r="E30" i="1"/>
  <c r="L30" i="1" s="1"/>
  <c r="D30" i="1"/>
  <c r="G29" i="1"/>
  <c r="F29" i="1"/>
  <c r="E29" i="1"/>
  <c r="L29" i="1" s="1"/>
  <c r="D29" i="1"/>
  <c r="G28" i="1"/>
  <c r="F28" i="1"/>
  <c r="E28" i="1"/>
  <c r="L28" i="1" s="1"/>
  <c r="D28" i="1"/>
  <c r="G27" i="1"/>
  <c r="F27" i="1"/>
  <c r="E27" i="1"/>
  <c r="L27" i="1" s="1"/>
  <c r="D27" i="1"/>
  <c r="M27" i="1" s="1"/>
  <c r="G26" i="1"/>
  <c r="F26" i="1"/>
  <c r="E26" i="1"/>
  <c r="L26" i="1" s="1"/>
  <c r="D26" i="1"/>
  <c r="M26" i="1" s="1"/>
  <c r="G25" i="1"/>
  <c r="F25" i="1"/>
  <c r="E25" i="1"/>
  <c r="L25" i="1" s="1"/>
  <c r="D25" i="1"/>
  <c r="M25" i="1" s="1"/>
  <c r="G24" i="1"/>
  <c r="F24" i="1"/>
  <c r="E24" i="1"/>
  <c r="L24" i="1" s="1"/>
  <c r="D24" i="1"/>
  <c r="G23" i="1"/>
  <c r="F23" i="1"/>
  <c r="E23" i="1"/>
  <c r="L23" i="1" s="1"/>
  <c r="D23" i="1"/>
  <c r="M23" i="1" s="1"/>
  <c r="G22" i="1"/>
  <c r="F22" i="1"/>
  <c r="E22" i="1"/>
  <c r="L22" i="1" s="1"/>
  <c r="D22" i="1"/>
  <c r="M22" i="1" s="1"/>
  <c r="G21" i="1"/>
  <c r="F21" i="1"/>
  <c r="E21" i="1"/>
  <c r="L21" i="1" s="1"/>
  <c r="D21" i="1"/>
  <c r="M21" i="1" s="1"/>
  <c r="G20" i="1"/>
  <c r="F20" i="1"/>
  <c r="E20" i="1"/>
  <c r="L20" i="1" s="1"/>
  <c r="D20" i="1"/>
  <c r="M20" i="1" s="1"/>
  <c r="G19" i="1"/>
  <c r="F19" i="1"/>
  <c r="E19" i="1"/>
  <c r="L19" i="1" s="1"/>
  <c r="D19" i="1"/>
  <c r="M19" i="1" s="1"/>
  <c r="G18" i="1"/>
  <c r="F18" i="1"/>
  <c r="E18" i="1"/>
  <c r="L18" i="1" s="1"/>
  <c r="D18" i="1"/>
  <c r="M18" i="1" s="1"/>
  <c r="G17" i="1"/>
  <c r="F17" i="1"/>
  <c r="E17" i="1"/>
  <c r="L17" i="1" s="1"/>
  <c r="M17" i="1" s="1"/>
  <c r="D17" i="1"/>
  <c r="G16" i="1"/>
  <c r="F16" i="1"/>
  <c r="E16" i="1"/>
  <c r="L16" i="1" s="1"/>
  <c r="D16" i="1"/>
  <c r="M16" i="1" s="1"/>
  <c r="G15" i="1"/>
  <c r="F15" i="1"/>
  <c r="E15" i="1"/>
  <c r="L15" i="1" s="1"/>
  <c r="D15" i="1"/>
  <c r="M15" i="1" s="1"/>
  <c r="G14" i="1"/>
  <c r="F14" i="1"/>
  <c r="E14" i="1"/>
  <c r="L14" i="1" s="1"/>
  <c r="D14" i="1"/>
  <c r="M14" i="1" s="1"/>
  <c r="G13" i="1"/>
  <c r="F13" i="1"/>
  <c r="E13" i="1"/>
  <c r="L13" i="1" s="1"/>
  <c r="D13" i="1"/>
  <c r="G12" i="1"/>
  <c r="F12" i="1"/>
  <c r="E12" i="1"/>
  <c r="L12" i="1" s="1"/>
  <c r="D12" i="1"/>
  <c r="M12" i="1" s="1"/>
  <c r="G11" i="1"/>
  <c r="F11" i="1"/>
  <c r="E11" i="1"/>
  <c r="L11" i="1" s="1"/>
  <c r="D11" i="1"/>
  <c r="G10" i="1"/>
  <c r="F10" i="1"/>
  <c r="E10" i="1"/>
  <c r="L10" i="1" s="1"/>
  <c r="D10" i="1"/>
  <c r="L9" i="1"/>
  <c r="M9" i="1" s="1"/>
  <c r="G9" i="1"/>
  <c r="F9" i="1"/>
  <c r="E9" i="1"/>
  <c r="D9" i="1"/>
  <c r="G8" i="1"/>
  <c r="F8" i="1"/>
  <c r="E8" i="1"/>
  <c r="L8" i="1" s="1"/>
  <c r="D8" i="1"/>
  <c r="M8" i="1" s="1"/>
  <c r="G7" i="1"/>
  <c r="F7" i="1"/>
  <c r="E7" i="1"/>
  <c r="L7" i="1" s="1"/>
  <c r="D7" i="1"/>
  <c r="M7" i="1" s="1"/>
  <c r="G6" i="1"/>
  <c r="F6" i="1"/>
  <c r="E6" i="1"/>
  <c r="L6" i="1" s="1"/>
  <c r="D6" i="1"/>
  <c r="G5" i="1"/>
  <c r="F5" i="1"/>
  <c r="E5" i="1"/>
  <c r="L5" i="1" s="1"/>
  <c r="D5" i="1"/>
  <c r="M5" i="1" s="1"/>
  <c r="G4" i="1"/>
  <c r="F4" i="1"/>
  <c r="E4" i="1"/>
  <c r="L4" i="1" s="1"/>
  <c r="D4" i="1"/>
  <c r="M4" i="1" s="1"/>
  <c r="G3" i="1"/>
  <c r="F3" i="1"/>
  <c r="E3" i="1"/>
  <c r="L3" i="1" s="1"/>
  <c r="D3" i="1"/>
  <c r="M3" i="1" s="1"/>
  <c r="G2" i="1"/>
  <c r="F2" i="1"/>
  <c r="E2" i="1"/>
  <c r="L2" i="1" s="1"/>
  <c r="D2" i="1"/>
  <c r="M2" i="1" s="1"/>
  <c r="M28" i="1" l="1"/>
  <c r="M24" i="1"/>
  <c r="M11" i="1"/>
  <c r="M10" i="1"/>
  <c r="M30" i="1"/>
  <c r="M13" i="1"/>
  <c r="M6" i="1"/>
  <c r="B33" i="1" s="1"/>
  <c r="M29" i="1"/>
</calcChain>
</file>

<file path=xl/sharedStrings.xml><?xml version="1.0" encoding="utf-8"?>
<sst xmlns="http://schemas.openxmlformats.org/spreadsheetml/2006/main" count="45" uniqueCount="20">
  <si>
    <t>Grupo</t>
  </si>
  <si>
    <t>Código</t>
  </si>
  <si>
    <t>Unidad</t>
  </si>
  <si>
    <t>N (Excel)</t>
  </si>
  <si>
    <t>P25 (Excel)</t>
  </si>
  <si>
    <t>Mediana (Excel)</t>
  </si>
  <si>
    <t>P75 (Excel)</t>
  </si>
  <si>
    <t>N (app)</t>
  </si>
  <si>
    <t>P25 (app)</t>
  </si>
  <si>
    <t>Mediana (app)</t>
  </si>
  <si>
    <t>P75 (app)</t>
  </si>
  <si>
    <t>Diferencia máxima</t>
  </si>
  <si>
    <t>Coincide</t>
  </si>
  <si>
    <t>Metro</t>
  </si>
  <si>
    <t>Kilogramo</t>
  </si>
  <si>
    <t>Millar</t>
  </si>
  <si>
    <t>Galon</t>
  </si>
  <si>
    <t>M2</t>
  </si>
  <si>
    <t>Discrepancias</t>
  </si>
  <si>
    <t>Columnas en azul: valores calculados por el agente analista. Columnas N, P25, Mediana y P75 (Excel): fórmulas sobre la hoja Precios.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</si>
</sst>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0"/>
    <numFmt numFmtId="165" formatCode="0.0E+00"/>
  </numFmts>
  <fonts count="4" x14ac:knownFonts="1">
    <font>
      <sz val="11"/>
      <color theme="1"/>
      <name val="Calibri"/>
      <family val="2"/>
      <scheme val="minor"/>
    </font>
    <font>
      <b/>
      <sz val="11"/>
      <name val="Arial"/>
    </font>
    <font>
      <sz val="11"/>
      <color rgb="FF0000FF"/>
      <name val="Arial"/>
    </font>
    <font>
      <sz val="11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164" fontId="3" fillId="0" borderId="0" xfId="0" applyNumberFormat="1" applyFont="1"/>
    <xf numFmtId="0" fontId="2" fillId="0" borderId="0" xfId="0" applyFont="1"/>
    <xf numFmtId="164" fontId="2" fillId="0" borderId="0" xfId="0" applyNumberFormat="1" applyFont="1"/>
    <xf numFmtId="165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4"/>
  <sheetViews>
    <sheetView tabSelected="1" workbookViewId="0"/>
  </sheetViews>
  <sheetFormatPr baseColWidth="10" defaultColWidth="8.83203125" defaultRowHeight="15" x14ac:dyDescent="0.2"/>
  <cols>
    <col min="1" max="1" width="25.83203125" customWidth="1"/>
    <col min="2" max="2" width="10" customWidth="1"/>
    <col min="3" max="3" width="11" customWidth="1"/>
    <col min="4" max="4" width="10" customWidth="1"/>
    <col min="5" max="7" width="16" customWidth="1"/>
    <col min="8" max="8" width="10" customWidth="1"/>
    <col min="9" max="11" width="16" customWidth="1"/>
    <col min="12" max="12" width="18" customWidth="1"/>
    <col min="13" max="13" width="10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s="2">
        <v>1</v>
      </c>
      <c r="B2" s="2">
        <v>61903</v>
      </c>
      <c r="C2" s="2" t="s">
        <v>2</v>
      </c>
      <c r="D2" s="2">
        <f>COUNT(Precios!$A$2:$A$215)</f>
        <v>5</v>
      </c>
      <c r="E2" s="3">
        <f>_xlfn.PERCENTILE.INC(Precios!$A$2:$A$215,0.25)</f>
        <v>0.19800000000000001</v>
      </c>
      <c r="F2" s="3">
        <f>MEDIAN(Precios!$A$2:$A$215)</f>
        <v>0.215</v>
      </c>
      <c r="G2" s="3">
        <f>_xlfn.PERCENTILE.INC(Precios!$A$2:$A$215,0.75)</f>
        <v>0.22500000000000001</v>
      </c>
      <c r="H2" s="4">
        <v>5</v>
      </c>
      <c r="I2" s="5">
        <v>0.19800000000000001</v>
      </c>
      <c r="J2" s="5">
        <v>0.215</v>
      </c>
      <c r="K2" s="5">
        <v>0.22500000000000001</v>
      </c>
      <c r="L2" s="6">
        <f t="shared" ref="L2:L31" si="0">MAX(ABS(E2-I2),ABS(F2-J2),ABS(G2-K2))</f>
        <v>0</v>
      </c>
      <c r="M2" s="2" t="str">
        <f t="shared" ref="M2:M31" si="1">IF(AND(D2=H2,L2&lt;=0.000001),"Sí","No")</f>
        <v>Sí</v>
      </c>
    </row>
    <row r="3" spans="1:13" x14ac:dyDescent="0.2">
      <c r="A3" s="2">
        <v>2</v>
      </c>
      <c r="B3" s="2">
        <v>388620</v>
      </c>
      <c r="C3" s="2" t="s">
        <v>2</v>
      </c>
      <c r="D3" s="2">
        <f>COUNT(Precios!$B$2:$B$215)</f>
        <v>5</v>
      </c>
      <c r="E3" s="3">
        <f>_xlfn.PERCENTILE.INC(Precios!$B$2:$B$215,0.25)</f>
        <v>9.0999999999999998E-2</v>
      </c>
      <c r="F3" s="3">
        <f>MEDIAN(Precios!$B$2:$B$215)</f>
        <v>0.1</v>
      </c>
      <c r="G3" s="3">
        <f>_xlfn.PERCENTILE.INC(Precios!$B$2:$B$215,0.75)</f>
        <v>0.1065</v>
      </c>
      <c r="H3" s="4">
        <v>5</v>
      </c>
      <c r="I3" s="5">
        <v>9.0999999999999998E-2</v>
      </c>
      <c r="J3" s="5">
        <v>0.1</v>
      </c>
      <c r="K3" s="5">
        <v>0.1065</v>
      </c>
      <c r="L3" s="6">
        <f t="shared" si="0"/>
        <v>0</v>
      </c>
      <c r="M3" s="2" t="str">
        <f t="shared" si="1"/>
        <v>Sí</v>
      </c>
    </row>
    <row r="4" spans="1:13" x14ac:dyDescent="0.2">
      <c r="A4" s="2">
        <v>3</v>
      </c>
      <c r="B4" s="2">
        <v>362466</v>
      </c>
      <c r="C4" s="2" t="s">
        <v>13</v>
      </c>
      <c r="D4" s="2">
        <f>COUNT(Precios!$C$2:$C$215)</f>
        <v>5</v>
      </c>
      <c r="E4" s="3">
        <f>_xlfn.PERCENTILE.INC(Precios!$C$2:$C$215,0.25)</f>
        <v>945</v>
      </c>
      <c r="F4" s="3">
        <f>MEDIAN(Precios!$C$2:$C$215)</f>
        <v>1190</v>
      </c>
      <c r="G4" s="3">
        <f>_xlfn.PERCENTILE.INC(Precios!$C$2:$C$215,0.75)</f>
        <v>1648</v>
      </c>
      <c r="H4" s="4">
        <v>5</v>
      </c>
      <c r="I4" s="5">
        <v>945</v>
      </c>
      <c r="J4" s="5">
        <v>1190</v>
      </c>
      <c r="K4" s="5">
        <v>1648</v>
      </c>
      <c r="L4" s="6">
        <f t="shared" si="0"/>
        <v>0</v>
      </c>
      <c r="M4" s="2" t="str">
        <f t="shared" si="1"/>
        <v>Sí</v>
      </c>
    </row>
    <row r="5" spans="1:13" x14ac:dyDescent="0.2">
      <c r="A5" s="2">
        <v>4</v>
      </c>
      <c r="B5" s="2">
        <v>390554</v>
      </c>
      <c r="C5" s="2" t="s">
        <v>14</v>
      </c>
      <c r="D5" s="2">
        <f>COUNT(Precios!$D$2:$D$215)</f>
        <v>5</v>
      </c>
      <c r="E5" s="3">
        <f>_xlfn.PERCENTILE.INC(Precios!$D$2:$D$215,0.25)</f>
        <v>6.4660321776569223</v>
      </c>
      <c r="F5" s="3">
        <f>MEDIAN(Precios!$D$2:$D$215)</f>
        <v>6.5657564575645759</v>
      </c>
      <c r="G5" s="3">
        <f>_xlfn.PERCENTILE.INC(Precios!$D$2:$D$215,0.75)</f>
        <v>8.0090090090090094</v>
      </c>
      <c r="H5" s="4">
        <v>5</v>
      </c>
      <c r="I5" s="5">
        <v>6.4660321776569223</v>
      </c>
      <c r="J5" s="5">
        <v>6.5657564575645759</v>
      </c>
      <c r="K5" s="5">
        <v>8.0090090090090094</v>
      </c>
      <c r="L5" s="6">
        <f t="shared" si="0"/>
        <v>0</v>
      </c>
      <c r="M5" s="2" t="str">
        <f t="shared" si="1"/>
        <v>Sí</v>
      </c>
    </row>
    <row r="6" spans="1:13" x14ac:dyDescent="0.2">
      <c r="A6" s="2">
        <v>5</v>
      </c>
      <c r="B6" s="2">
        <v>392233</v>
      </c>
      <c r="C6" s="2" t="s">
        <v>2</v>
      </c>
      <c r="D6" s="2">
        <f>COUNT(Precios!$E$2:$E$215)</f>
        <v>6</v>
      </c>
      <c r="E6" s="3">
        <f>_xlfn.PERCENTILE.INC(Precios!$E$2:$E$215,0.25)</f>
        <v>573.27586206896558</v>
      </c>
      <c r="F6" s="3">
        <f>MEDIAN(Precios!$E$2:$E$215)</f>
        <v>38996.551724137935</v>
      </c>
      <c r="G6" s="3">
        <f>_xlfn.PERCENTILE.INC(Precios!$E$2:$E$215,0.75)</f>
        <v>99737.5</v>
      </c>
      <c r="H6" s="4">
        <v>6</v>
      </c>
      <c r="I6" s="5">
        <v>573.27586206896558</v>
      </c>
      <c r="J6" s="5">
        <v>38996.551724137928</v>
      </c>
      <c r="K6" s="5">
        <v>99737.5</v>
      </c>
      <c r="L6" s="6">
        <f t="shared" si="0"/>
        <v>7.2759576141834259E-12</v>
      </c>
      <c r="M6" s="2" t="str">
        <f t="shared" si="1"/>
        <v>Sí</v>
      </c>
    </row>
    <row r="7" spans="1:13" x14ac:dyDescent="0.2">
      <c r="A7" s="2">
        <v>6</v>
      </c>
      <c r="B7" s="2">
        <v>184418</v>
      </c>
      <c r="C7" s="2" t="s">
        <v>2</v>
      </c>
      <c r="D7" s="2">
        <f>COUNT(Precios!$F$2:$F$215)</f>
        <v>7</v>
      </c>
      <c r="E7" s="3">
        <f>_xlfn.PERCENTILE.INC(Precios!$F$2:$F$215,0.25)</f>
        <v>22652.203888888889</v>
      </c>
      <c r="F7" s="3">
        <f>MEDIAN(Precios!$F$2:$F$215)</f>
        <v>45240</v>
      </c>
      <c r="G7" s="3">
        <f>_xlfn.PERCENTILE.INC(Precios!$F$2:$F$215,0.75)</f>
        <v>49650</v>
      </c>
      <c r="H7" s="4">
        <v>7</v>
      </c>
      <c r="I7" s="5">
        <v>22652.203888888889</v>
      </c>
      <c r="J7" s="5">
        <v>45240</v>
      </c>
      <c r="K7" s="5">
        <v>49650</v>
      </c>
      <c r="L7" s="6">
        <f t="shared" si="0"/>
        <v>0</v>
      </c>
      <c r="M7" s="2" t="str">
        <f t="shared" si="1"/>
        <v>Sí</v>
      </c>
    </row>
    <row r="8" spans="1:13" x14ac:dyDescent="0.2">
      <c r="A8" s="2">
        <v>7</v>
      </c>
      <c r="B8" s="2">
        <v>286158</v>
      </c>
      <c r="C8" s="2" t="s">
        <v>2</v>
      </c>
      <c r="D8" s="2">
        <f>COUNT(Precios!$G$2:$G$215)</f>
        <v>8</v>
      </c>
      <c r="E8" s="3">
        <f>_xlfn.PERCENTILE.INC(Precios!$G$2:$G$215,0.25)</f>
        <v>666.44791666666674</v>
      </c>
      <c r="F8" s="3">
        <f>MEDIAN(Precios!$G$2:$G$215)</f>
        <v>121923.5</v>
      </c>
      <c r="G8" s="3">
        <f>_xlfn.PERCENTILE.INC(Precios!$G$2:$G$215,0.75)</f>
        <v>214425.28749999998</v>
      </c>
      <c r="H8" s="4">
        <v>8</v>
      </c>
      <c r="I8" s="5">
        <v>666.44791666666663</v>
      </c>
      <c r="J8" s="5">
        <v>121923.5</v>
      </c>
      <c r="K8" s="5">
        <v>214425.28750000001</v>
      </c>
      <c r="L8" s="6">
        <f t="shared" si="0"/>
        <v>2.9103830456733704E-11</v>
      </c>
      <c r="M8" s="2" t="str">
        <f t="shared" si="1"/>
        <v>Sí</v>
      </c>
    </row>
    <row r="9" spans="1:13" x14ac:dyDescent="0.2">
      <c r="A9" s="2">
        <v>8</v>
      </c>
      <c r="B9" s="2">
        <v>60522</v>
      </c>
      <c r="C9" s="2" t="s">
        <v>2</v>
      </c>
      <c r="D9" s="2">
        <f>COUNT(Precios!$H$2:$H$215)</f>
        <v>8</v>
      </c>
      <c r="E9" s="3">
        <f>_xlfn.PERCENTILE.INC(Precios!$H$2:$H$215,0.25)</f>
        <v>6.7924999885821527E-2</v>
      </c>
      <c r="F9" s="3">
        <f>MEDIAN(Precios!$H$2:$H$215)</f>
        <v>8.8600000000000012E-2</v>
      </c>
      <c r="G9" s="3">
        <f>_xlfn.PERCENTILE.INC(Precios!$H$2:$H$215,0.75)</f>
        <v>0.125</v>
      </c>
      <c r="H9" s="4">
        <v>8</v>
      </c>
      <c r="I9" s="5">
        <v>6.7924999885821527E-2</v>
      </c>
      <c r="J9" s="5">
        <v>8.8600000000000012E-2</v>
      </c>
      <c r="K9" s="5">
        <v>0.125</v>
      </c>
      <c r="L9" s="6">
        <f t="shared" si="0"/>
        <v>0</v>
      </c>
      <c r="M9" s="2" t="str">
        <f t="shared" si="1"/>
        <v>Sí</v>
      </c>
    </row>
    <row r="10" spans="1:13" x14ac:dyDescent="0.2">
      <c r="A10" s="2">
        <v>9</v>
      </c>
      <c r="B10" s="2">
        <v>385674</v>
      </c>
      <c r="C10" s="2" t="s">
        <v>2</v>
      </c>
      <c r="D10" s="2">
        <f>COUNT(Precios!$I$2:$I$215)</f>
        <v>9</v>
      </c>
      <c r="E10" s="3">
        <f>_xlfn.PERCENTILE.INC(Precios!$I$2:$I$215,0.25)</f>
        <v>40204.745000000003</v>
      </c>
      <c r="F10" s="3">
        <f>MEDIAN(Precios!$I$2:$I$215)</f>
        <v>44475</v>
      </c>
      <c r="G10" s="3">
        <f>_xlfn.PERCENTILE.INC(Precios!$I$2:$I$215,0.75)</f>
        <v>50000</v>
      </c>
      <c r="H10" s="4">
        <v>9</v>
      </c>
      <c r="I10" s="5">
        <v>40204.745000000003</v>
      </c>
      <c r="J10" s="5">
        <v>44475</v>
      </c>
      <c r="K10" s="5">
        <v>50000</v>
      </c>
      <c r="L10" s="6">
        <f t="shared" si="0"/>
        <v>0</v>
      </c>
      <c r="M10" s="2" t="str">
        <f t="shared" si="1"/>
        <v>Sí</v>
      </c>
    </row>
    <row r="11" spans="1:13" x14ac:dyDescent="0.2">
      <c r="A11" s="2">
        <v>10</v>
      </c>
      <c r="B11" s="2">
        <v>390914</v>
      </c>
      <c r="C11" s="2" t="s">
        <v>2</v>
      </c>
      <c r="D11" s="2">
        <f>COUNT(Precios!$J$2:$J$215)</f>
        <v>9</v>
      </c>
      <c r="E11" s="3">
        <f>_xlfn.PERCENTILE.INC(Precios!$J$2:$J$215,0.25)</f>
        <v>56760</v>
      </c>
      <c r="F11" s="3">
        <f>MEDIAN(Precios!$J$2:$J$215)</f>
        <v>70900</v>
      </c>
      <c r="G11" s="3">
        <f>_xlfn.PERCENTILE.INC(Precios!$J$2:$J$215,0.75)</f>
        <v>127170</v>
      </c>
      <c r="H11" s="4">
        <v>9</v>
      </c>
      <c r="I11" s="5">
        <v>56760</v>
      </c>
      <c r="J11" s="5">
        <v>70900</v>
      </c>
      <c r="K11" s="5">
        <v>127170</v>
      </c>
      <c r="L11" s="6">
        <f t="shared" si="0"/>
        <v>0</v>
      </c>
      <c r="M11" s="2" t="str">
        <f t="shared" si="1"/>
        <v>Sí</v>
      </c>
    </row>
    <row r="12" spans="1:13" x14ac:dyDescent="0.2">
      <c r="A12" s="2">
        <v>11</v>
      </c>
      <c r="B12" s="2">
        <v>61853</v>
      </c>
      <c r="C12" s="2" t="s">
        <v>2</v>
      </c>
      <c r="D12" s="2">
        <f>COUNT(Precios!$K$2:$K$215)</f>
        <v>10</v>
      </c>
      <c r="E12" s="3">
        <f>_xlfn.PERCENTILE.INC(Precios!$K$2:$K$215,0.25)</f>
        <v>4.4124234175231445</v>
      </c>
      <c r="F12" s="3">
        <f>MEDIAN(Precios!$K$2:$K$215)</f>
        <v>7.1749999999999998</v>
      </c>
      <c r="G12" s="3">
        <f>_xlfn.PERCENTILE.INC(Precios!$K$2:$K$215,0.75)</f>
        <v>9.86</v>
      </c>
      <c r="H12" s="4">
        <v>10</v>
      </c>
      <c r="I12" s="5">
        <v>4.4124234175231436</v>
      </c>
      <c r="J12" s="5">
        <v>7.1749999999999998</v>
      </c>
      <c r="K12" s="5">
        <v>9.86</v>
      </c>
      <c r="L12" s="6">
        <f t="shared" si="0"/>
        <v>8.8817841970012523E-16</v>
      </c>
      <c r="M12" s="2" t="str">
        <f t="shared" si="1"/>
        <v>Sí</v>
      </c>
    </row>
    <row r="13" spans="1:13" x14ac:dyDescent="0.2">
      <c r="A13" s="2">
        <v>12</v>
      </c>
      <c r="B13" s="2">
        <v>391873</v>
      </c>
      <c r="C13" s="2" t="s">
        <v>2</v>
      </c>
      <c r="D13" s="2">
        <f>COUNT(Precios!$L$2:$L$215)</f>
        <v>11</v>
      </c>
      <c r="E13" s="3">
        <f>_xlfn.PERCENTILE.INC(Precios!$L$2:$L$215,0.25)</f>
        <v>39281.666666666672</v>
      </c>
      <c r="F13" s="3">
        <f>MEDIAN(Precios!$L$2:$L$215)</f>
        <v>65995</v>
      </c>
      <c r="G13" s="3">
        <f>_xlfn.PERCENTILE.INC(Precios!$L$2:$L$215,0.75)</f>
        <v>79750</v>
      </c>
      <c r="H13" s="4">
        <v>11</v>
      </c>
      <c r="I13" s="5">
        <v>39281.666666666672</v>
      </c>
      <c r="J13" s="5">
        <v>65995</v>
      </c>
      <c r="K13" s="5">
        <v>79750</v>
      </c>
      <c r="L13" s="6">
        <f t="shared" si="0"/>
        <v>0</v>
      </c>
      <c r="M13" s="2" t="str">
        <f t="shared" si="1"/>
        <v>Sí</v>
      </c>
    </row>
    <row r="14" spans="1:13" x14ac:dyDescent="0.2">
      <c r="A14" s="2">
        <v>13</v>
      </c>
      <c r="B14" s="2">
        <v>184824</v>
      </c>
      <c r="C14" s="2" t="s">
        <v>2</v>
      </c>
      <c r="D14" s="2">
        <f>COUNT(Precios!$M$2:$M$215)</f>
        <v>11</v>
      </c>
      <c r="E14" s="3">
        <f>_xlfn.PERCENTILE.INC(Precios!$M$2:$M$215,0.25)</f>
        <v>548900</v>
      </c>
      <c r="F14" s="3">
        <f>MEDIAN(Precios!$M$2:$M$215)</f>
        <v>594318.5</v>
      </c>
      <c r="G14" s="3">
        <f>_xlfn.PERCENTILE.INC(Precios!$M$2:$M$215,0.75)</f>
        <v>666000</v>
      </c>
      <c r="H14" s="4">
        <v>11</v>
      </c>
      <c r="I14" s="5">
        <v>548900</v>
      </c>
      <c r="J14" s="5">
        <v>594318.5</v>
      </c>
      <c r="K14" s="5">
        <v>666000</v>
      </c>
      <c r="L14" s="6">
        <f t="shared" si="0"/>
        <v>0</v>
      </c>
      <c r="M14" s="2" t="str">
        <f t="shared" si="1"/>
        <v>Sí</v>
      </c>
    </row>
    <row r="15" spans="1:13" x14ac:dyDescent="0.2">
      <c r="A15" s="2">
        <v>14</v>
      </c>
      <c r="B15" s="2">
        <v>2453</v>
      </c>
      <c r="C15" s="2" t="s">
        <v>14</v>
      </c>
      <c r="D15" s="2">
        <f>COUNT(Precios!$N$2:$N$215)</f>
        <v>11</v>
      </c>
      <c r="E15" s="3">
        <f>_xlfn.PERCENTILE.INC(Precios!$N$2:$N$215,0.25)</f>
        <v>3.49</v>
      </c>
      <c r="F15" s="3">
        <f>MEDIAN(Precios!$N$2:$N$215)</f>
        <v>4.0651199999999994</v>
      </c>
      <c r="G15" s="3">
        <f>_xlfn.PERCENTILE.INC(Precios!$N$2:$N$215,0.75)</f>
        <v>5.45</v>
      </c>
      <c r="H15" s="4">
        <v>11</v>
      </c>
      <c r="I15" s="5">
        <v>3.49</v>
      </c>
      <c r="J15" s="5">
        <v>4.0651199999999994</v>
      </c>
      <c r="K15" s="5">
        <v>5.45</v>
      </c>
      <c r="L15" s="6">
        <f t="shared" si="0"/>
        <v>0</v>
      </c>
      <c r="M15" s="2" t="str">
        <f t="shared" si="1"/>
        <v>Sí</v>
      </c>
    </row>
    <row r="16" spans="1:13" x14ac:dyDescent="0.2">
      <c r="A16" s="2">
        <v>15</v>
      </c>
      <c r="B16" s="2">
        <v>369538</v>
      </c>
      <c r="C16" s="2" t="s">
        <v>14</v>
      </c>
      <c r="D16" s="2">
        <f>COUNT(Precios!$O$2:$O$215)</f>
        <v>11</v>
      </c>
      <c r="E16" s="3">
        <f>_xlfn.PERCENTILE.INC(Precios!$O$2:$O$215,0.25)</f>
        <v>4.2750000000000004</v>
      </c>
      <c r="F16" s="3">
        <f>MEDIAN(Precios!$O$2:$O$215)</f>
        <v>4.8</v>
      </c>
      <c r="G16" s="3">
        <f>_xlfn.PERCENTILE.INC(Precios!$O$2:$O$215,0.75)</f>
        <v>5.07</v>
      </c>
      <c r="H16" s="4">
        <v>11</v>
      </c>
      <c r="I16" s="5">
        <v>4.2750000000000004</v>
      </c>
      <c r="J16" s="5">
        <v>4.8</v>
      </c>
      <c r="K16" s="5">
        <v>5.07</v>
      </c>
      <c r="L16" s="6">
        <f t="shared" si="0"/>
        <v>0</v>
      </c>
      <c r="M16" s="2" t="str">
        <f t="shared" si="1"/>
        <v>Sí</v>
      </c>
    </row>
    <row r="17" spans="1:13" x14ac:dyDescent="0.2">
      <c r="A17" s="2">
        <v>16</v>
      </c>
      <c r="B17" s="2">
        <v>367431</v>
      </c>
      <c r="C17" s="2" t="s">
        <v>2</v>
      </c>
      <c r="D17" s="2">
        <f>COUNT(Precios!$P$2:$P$215)</f>
        <v>12</v>
      </c>
      <c r="E17" s="3">
        <f>_xlfn.PERCENTILE.INC(Precios!$P$2:$P$215,0.25)</f>
        <v>140.69</v>
      </c>
      <c r="F17" s="3">
        <f>MEDIAN(Precios!$P$2:$P$215)</f>
        <v>151.03</v>
      </c>
      <c r="G17" s="3">
        <f>_xlfn.PERCENTILE.INC(Precios!$P$2:$P$215,0.75)</f>
        <v>568.82640232108304</v>
      </c>
      <c r="H17" s="4">
        <v>12</v>
      </c>
      <c r="I17" s="5">
        <v>140.69</v>
      </c>
      <c r="J17" s="5">
        <v>151.03</v>
      </c>
      <c r="K17" s="5">
        <v>568.82640232108315</v>
      </c>
      <c r="L17" s="6">
        <f t="shared" si="0"/>
        <v>1.1368683772161603E-13</v>
      </c>
      <c r="M17" s="2" t="str">
        <f t="shared" si="1"/>
        <v>Sí</v>
      </c>
    </row>
    <row r="18" spans="1:13" x14ac:dyDescent="0.2">
      <c r="A18" s="2">
        <v>17</v>
      </c>
      <c r="B18" s="2">
        <v>211221</v>
      </c>
      <c r="C18" s="2" t="s">
        <v>15</v>
      </c>
      <c r="D18" s="2">
        <f>COUNT(Precios!$Q$2:$Q$215)</f>
        <v>12</v>
      </c>
      <c r="E18" s="3">
        <f>_xlfn.PERCENTILE.INC(Precios!$Q$2:$Q$215,0.25)</f>
        <v>150</v>
      </c>
      <c r="F18" s="3">
        <f>MEDIAN(Precios!$Q$2:$Q$215)</f>
        <v>153.5</v>
      </c>
      <c r="G18" s="3">
        <f>_xlfn.PERCENTILE.INC(Precios!$Q$2:$Q$215,0.75)</f>
        <v>162.375</v>
      </c>
      <c r="H18" s="4">
        <v>12</v>
      </c>
      <c r="I18" s="5">
        <v>150</v>
      </c>
      <c r="J18" s="5">
        <v>153.5</v>
      </c>
      <c r="K18" s="5">
        <v>162.375</v>
      </c>
      <c r="L18" s="6">
        <f t="shared" si="0"/>
        <v>0</v>
      </c>
      <c r="M18" s="2" t="str">
        <f t="shared" si="1"/>
        <v>Sí</v>
      </c>
    </row>
    <row r="19" spans="1:13" x14ac:dyDescent="0.2">
      <c r="A19" s="2">
        <v>18</v>
      </c>
      <c r="B19" s="2">
        <v>60267</v>
      </c>
      <c r="C19" s="2" t="s">
        <v>2</v>
      </c>
      <c r="D19" s="2">
        <f>COUNT(Precios!$R$2:$R$215)</f>
        <v>12</v>
      </c>
      <c r="E19" s="3">
        <f>_xlfn.PERCENTILE.INC(Precios!$R$2:$R$215,0.25)</f>
        <v>29.5</v>
      </c>
      <c r="F19" s="3">
        <f>MEDIAN(Precios!$R$2:$R$215)</f>
        <v>31.5</v>
      </c>
      <c r="G19" s="3">
        <f>_xlfn.PERCENTILE.INC(Precios!$R$2:$R$215,0.75)</f>
        <v>35</v>
      </c>
      <c r="H19" s="4">
        <v>12</v>
      </c>
      <c r="I19" s="5">
        <v>29.5</v>
      </c>
      <c r="J19" s="5">
        <v>31.5</v>
      </c>
      <c r="K19" s="5">
        <v>35</v>
      </c>
      <c r="L19" s="6">
        <f t="shared" si="0"/>
        <v>0</v>
      </c>
      <c r="M19" s="2" t="str">
        <f t="shared" si="1"/>
        <v>Sí</v>
      </c>
    </row>
    <row r="20" spans="1:13" x14ac:dyDescent="0.2">
      <c r="A20" s="2">
        <v>19</v>
      </c>
      <c r="B20" s="2">
        <v>380409</v>
      </c>
      <c r="C20" s="2" t="s">
        <v>2</v>
      </c>
      <c r="D20" s="2">
        <f>COUNT(Precios!$S$2:$S$215)</f>
        <v>16</v>
      </c>
      <c r="E20" s="3">
        <f>_xlfn.PERCENTILE.INC(Precios!$S$2:$S$215,0.25)</f>
        <v>43281.497499999998</v>
      </c>
      <c r="F20" s="3">
        <f>MEDIAN(Precios!$S$2:$S$215)</f>
        <v>58125</v>
      </c>
      <c r="G20" s="3">
        <f>_xlfn.PERCENTILE.INC(Precios!$S$2:$S$215,0.75)</f>
        <v>90476.027499999997</v>
      </c>
      <c r="H20" s="4">
        <v>16</v>
      </c>
      <c r="I20" s="5">
        <v>43281.497499999998</v>
      </c>
      <c r="J20" s="5">
        <v>58125</v>
      </c>
      <c r="K20" s="5">
        <v>90476.027499999997</v>
      </c>
      <c r="L20" s="6">
        <f t="shared" si="0"/>
        <v>0</v>
      </c>
      <c r="M20" s="2" t="str">
        <f t="shared" si="1"/>
        <v>Sí</v>
      </c>
    </row>
    <row r="21" spans="1:13" x14ac:dyDescent="0.2">
      <c r="A21" s="2">
        <v>20</v>
      </c>
      <c r="B21" s="2">
        <v>59202</v>
      </c>
      <c r="C21" s="2" t="s">
        <v>2</v>
      </c>
      <c r="D21" s="2">
        <f>COUNT(Precios!$T$2:$T$215)</f>
        <v>17</v>
      </c>
      <c r="E21" s="3">
        <f>_xlfn.PERCENTILE.INC(Precios!$T$2:$T$215,0.25)</f>
        <v>1.55</v>
      </c>
      <c r="F21" s="3">
        <f>MEDIAN(Precios!$T$2:$T$215)</f>
        <v>1.8</v>
      </c>
      <c r="G21" s="3">
        <f>_xlfn.PERCENTILE.INC(Precios!$T$2:$T$215,0.75)</f>
        <v>2.35</v>
      </c>
      <c r="H21" s="4">
        <v>17</v>
      </c>
      <c r="I21" s="5">
        <v>1.55</v>
      </c>
      <c r="J21" s="5">
        <v>1.8</v>
      </c>
      <c r="K21" s="5">
        <v>2.35</v>
      </c>
      <c r="L21" s="6">
        <f t="shared" si="0"/>
        <v>0</v>
      </c>
      <c r="M21" s="2" t="str">
        <f t="shared" si="1"/>
        <v>Sí</v>
      </c>
    </row>
    <row r="22" spans="1:13" x14ac:dyDescent="0.2">
      <c r="A22" s="2">
        <v>21</v>
      </c>
      <c r="B22" s="2">
        <v>178724</v>
      </c>
      <c r="C22" s="2" t="s">
        <v>2</v>
      </c>
      <c r="D22" s="2">
        <f>COUNT(Precios!$U$2:$U$215)</f>
        <v>30</v>
      </c>
      <c r="E22" s="3">
        <f>_xlfn.PERCENTILE.INC(Precios!$U$2:$U$215,0.25)</f>
        <v>27.199000000000002</v>
      </c>
      <c r="F22" s="3">
        <f>MEDIAN(Precios!$U$2:$U$215)</f>
        <v>34.15</v>
      </c>
      <c r="G22" s="3">
        <f>_xlfn.PERCENTILE.INC(Precios!$U$2:$U$215,0.75)</f>
        <v>598.75</v>
      </c>
      <c r="H22" s="4">
        <v>30</v>
      </c>
      <c r="I22" s="5">
        <v>27.199000000000002</v>
      </c>
      <c r="J22" s="5">
        <v>34.15</v>
      </c>
      <c r="K22" s="5">
        <v>598.75</v>
      </c>
      <c r="L22" s="6">
        <f t="shared" si="0"/>
        <v>0</v>
      </c>
      <c r="M22" s="2" t="str">
        <f t="shared" si="1"/>
        <v>Sí</v>
      </c>
    </row>
    <row r="23" spans="1:13" x14ac:dyDescent="0.2">
      <c r="A23" s="2">
        <v>22</v>
      </c>
      <c r="B23" s="2">
        <v>329939</v>
      </c>
      <c r="C23" s="2" t="s">
        <v>16</v>
      </c>
      <c r="D23" s="2">
        <f>COUNT(Precios!$V$2:$V$215)</f>
        <v>32</v>
      </c>
      <c r="E23" s="3">
        <f>_xlfn.PERCENTILE.INC(Precios!$V$2:$V$215,0.25)</f>
        <v>13.864012738853505</v>
      </c>
      <c r="F23" s="3">
        <f>MEDIAN(Precios!$V$2:$V$215)</f>
        <v>15.245500060715635</v>
      </c>
      <c r="G23" s="3">
        <f>_xlfn.PERCENTILE.INC(Precios!$V$2:$V$215,0.75)</f>
        <v>18.365457363477745</v>
      </c>
      <c r="H23" s="4">
        <v>32</v>
      </c>
      <c r="I23" s="5">
        <v>13.8640127388535</v>
      </c>
      <c r="J23" s="5">
        <v>15.24550006071564</v>
      </c>
      <c r="K23" s="5">
        <v>18.365457363477741</v>
      </c>
      <c r="L23" s="6">
        <f t="shared" si="0"/>
        <v>5.3290705182007514E-15</v>
      </c>
      <c r="M23" s="2" t="str">
        <f t="shared" si="1"/>
        <v>Sí</v>
      </c>
    </row>
    <row r="24" spans="1:13" x14ac:dyDescent="0.2">
      <c r="A24" s="2">
        <v>23</v>
      </c>
      <c r="B24" s="2">
        <v>385153</v>
      </c>
      <c r="C24" s="2" t="s">
        <v>2</v>
      </c>
      <c r="D24" s="2">
        <f>COUNT(Precios!$W$2:$W$215)</f>
        <v>33</v>
      </c>
      <c r="E24" s="3">
        <f>_xlfn.PERCENTILE.INC(Precios!$W$2:$W$215,0.25)</f>
        <v>9.1999999999999993</v>
      </c>
      <c r="F24" s="3">
        <f>MEDIAN(Precios!$W$2:$W$215)</f>
        <v>17.55344332855093</v>
      </c>
      <c r="G24" s="3">
        <f>_xlfn.PERCENTILE.INC(Precios!$W$2:$W$215,0.75)</f>
        <v>28</v>
      </c>
      <c r="H24" s="4">
        <v>33</v>
      </c>
      <c r="I24" s="5">
        <v>9.1999999999999993</v>
      </c>
      <c r="J24" s="5">
        <v>17.55344332855093</v>
      </c>
      <c r="K24" s="5">
        <v>28</v>
      </c>
      <c r="L24" s="6">
        <f t="shared" si="0"/>
        <v>0</v>
      </c>
      <c r="M24" s="2" t="str">
        <f t="shared" si="1"/>
        <v>Sí</v>
      </c>
    </row>
    <row r="25" spans="1:13" x14ac:dyDescent="0.2">
      <c r="A25" s="2">
        <v>24</v>
      </c>
      <c r="B25" s="2">
        <v>151276</v>
      </c>
      <c r="C25" s="2" t="s">
        <v>17</v>
      </c>
      <c r="D25" s="2">
        <f>COUNT(Precios!$X$2:$X$215)</f>
        <v>62</v>
      </c>
      <c r="E25" s="3">
        <f>_xlfn.PERCENTILE.INC(Precios!$X$2:$X$215,0.25)</f>
        <v>69.201570680628265</v>
      </c>
      <c r="F25" s="3">
        <f>MEDIAN(Precios!$X$2:$X$215)</f>
        <v>109.8780487804878</v>
      </c>
      <c r="G25" s="3">
        <f>_xlfn.PERCENTILE.INC(Precios!$X$2:$X$215,0.75)</f>
        <v>148.92778551532035</v>
      </c>
      <c r="H25" s="4">
        <v>62</v>
      </c>
      <c r="I25" s="5">
        <v>69.201570680628265</v>
      </c>
      <c r="J25" s="5">
        <v>109.8780487804878</v>
      </c>
      <c r="K25" s="5">
        <v>148.92778551532029</v>
      </c>
      <c r="L25" s="6">
        <f t="shared" si="0"/>
        <v>5.6843418860808015E-14</v>
      </c>
      <c r="M25" s="2" t="str">
        <f t="shared" si="1"/>
        <v>Sí</v>
      </c>
    </row>
    <row r="26" spans="1:13" x14ac:dyDescent="0.2">
      <c r="A26" s="2">
        <v>25</v>
      </c>
      <c r="B26" s="2">
        <v>64564</v>
      </c>
      <c r="C26" s="2" t="s">
        <v>2</v>
      </c>
      <c r="D26" s="2">
        <f>COUNT(Precios!$Y$2:$Y$215)</f>
        <v>63</v>
      </c>
      <c r="E26" s="3">
        <f>_xlfn.PERCENTILE.INC(Precios!$Y$2:$Y$215,0.25)</f>
        <v>469395</v>
      </c>
      <c r="F26" s="3">
        <f>MEDIAN(Precios!$Y$2:$Y$215)</f>
        <v>490000</v>
      </c>
      <c r="G26" s="3">
        <f>_xlfn.PERCENTILE.INC(Precios!$Y$2:$Y$215,0.75)</f>
        <v>544840.58000000007</v>
      </c>
      <c r="H26" s="4">
        <v>63</v>
      </c>
      <c r="I26" s="5">
        <v>469395</v>
      </c>
      <c r="J26" s="5">
        <v>490000</v>
      </c>
      <c r="K26" s="5">
        <v>544840.58000000007</v>
      </c>
      <c r="L26" s="6">
        <f t="shared" si="0"/>
        <v>0</v>
      </c>
      <c r="M26" s="2" t="str">
        <f t="shared" si="1"/>
        <v>Sí</v>
      </c>
    </row>
    <row r="27" spans="1:13" x14ac:dyDescent="0.2">
      <c r="A27" s="2">
        <v>26</v>
      </c>
      <c r="B27" s="2">
        <v>65085</v>
      </c>
      <c r="C27" s="2" t="s">
        <v>2</v>
      </c>
      <c r="D27" s="2">
        <f>COUNT(Precios!$Z$2:$Z$215)</f>
        <v>72</v>
      </c>
      <c r="E27" s="3">
        <f>_xlfn.PERCENTILE.INC(Precios!$Z$2:$Z$215,0.25)</f>
        <v>284975</v>
      </c>
      <c r="F27" s="3">
        <f>MEDIAN(Precios!$Z$2:$Z$215)</f>
        <v>316225</v>
      </c>
      <c r="G27" s="3">
        <f>_xlfn.PERCENTILE.INC(Precios!$Z$2:$Z$215,0.75)</f>
        <v>355600</v>
      </c>
      <c r="H27" s="4">
        <v>72</v>
      </c>
      <c r="I27" s="5">
        <v>284975</v>
      </c>
      <c r="J27" s="5">
        <v>316225</v>
      </c>
      <c r="K27" s="5">
        <v>355600</v>
      </c>
      <c r="L27" s="6">
        <f t="shared" si="0"/>
        <v>0</v>
      </c>
      <c r="M27" s="2" t="str">
        <f t="shared" si="1"/>
        <v>Sí</v>
      </c>
    </row>
    <row r="28" spans="1:13" x14ac:dyDescent="0.2">
      <c r="A28" s="2">
        <v>27</v>
      </c>
      <c r="B28" s="2">
        <v>259255</v>
      </c>
      <c r="C28" s="2" t="s">
        <v>2</v>
      </c>
      <c r="D28" s="2">
        <f>COUNT(Precios!$AA$2:$AA$215)</f>
        <v>86</v>
      </c>
      <c r="E28" s="3">
        <f>_xlfn.PERCENTILE.INC(Precios!$AA$2:$AA$215,0.25)</f>
        <v>25.977499999999999</v>
      </c>
      <c r="F28" s="3">
        <f>MEDIAN(Precios!$AA$2:$AA$215)</f>
        <v>30</v>
      </c>
      <c r="G28" s="3">
        <f>_xlfn.PERCENTILE.INC(Precios!$AA$2:$AA$215,0.75)</f>
        <v>31.45029319195174</v>
      </c>
      <c r="H28" s="4">
        <v>86</v>
      </c>
      <c r="I28" s="5">
        <v>25.977499999999999</v>
      </c>
      <c r="J28" s="5">
        <v>30</v>
      </c>
      <c r="K28" s="5">
        <v>31.45029319195174</v>
      </c>
      <c r="L28" s="6">
        <f t="shared" si="0"/>
        <v>0</v>
      </c>
      <c r="M28" s="2" t="str">
        <f t="shared" si="1"/>
        <v>Sí</v>
      </c>
    </row>
    <row r="29" spans="1:13" x14ac:dyDescent="0.2">
      <c r="A29" s="2">
        <v>28</v>
      </c>
      <c r="B29" s="2">
        <v>2675</v>
      </c>
      <c r="C29" s="2" t="s">
        <v>14</v>
      </c>
      <c r="D29" s="2">
        <f>COUNT(Precios!$AB$2:$AB$215)</f>
        <v>121</v>
      </c>
      <c r="E29" s="3">
        <f>_xlfn.PERCENTILE.INC(Precios!$AB$2:$AB$215,0.25)</f>
        <v>3.4018118948824352</v>
      </c>
      <c r="F29" s="3">
        <f>MEDIAN(Precios!$AB$2:$AB$215)</f>
        <v>4.26</v>
      </c>
      <c r="G29" s="3">
        <f>_xlfn.PERCENTILE.INC(Precios!$AB$2:$AB$215,0.75)</f>
        <v>5.6004672897196262</v>
      </c>
      <c r="H29" s="4">
        <v>121</v>
      </c>
      <c r="I29" s="5">
        <v>3.4018118948824352</v>
      </c>
      <c r="J29" s="5">
        <v>4.26</v>
      </c>
      <c r="K29" s="5">
        <v>5.6004672897196262</v>
      </c>
      <c r="L29" s="6">
        <f t="shared" si="0"/>
        <v>0</v>
      </c>
      <c r="M29" s="2" t="str">
        <f t="shared" si="1"/>
        <v>Sí</v>
      </c>
    </row>
    <row r="30" spans="1:13" x14ac:dyDescent="0.2">
      <c r="A30" s="2">
        <v>29</v>
      </c>
      <c r="B30" s="2">
        <v>385506</v>
      </c>
      <c r="C30" s="2" t="s">
        <v>2</v>
      </c>
      <c r="D30" s="2">
        <f>COUNT(Precios!$AC$2:$AC$215)</f>
        <v>127</v>
      </c>
      <c r="E30" s="3">
        <f>_xlfn.PERCENTILE.INC(Precios!$AC$2:$AC$215,0.25)</f>
        <v>941450</v>
      </c>
      <c r="F30" s="3">
        <f>MEDIAN(Precios!$AC$2:$AC$215)</f>
        <v>1143871</v>
      </c>
      <c r="G30" s="3">
        <f>_xlfn.PERCENTILE.INC(Precios!$AC$2:$AC$215,0.75)</f>
        <v>1304284.915</v>
      </c>
      <c r="H30" s="4">
        <v>127</v>
      </c>
      <c r="I30" s="5">
        <v>941450</v>
      </c>
      <c r="J30" s="5">
        <v>1143871</v>
      </c>
      <c r="K30" s="5">
        <v>1304284.915</v>
      </c>
      <c r="L30" s="6">
        <f t="shared" si="0"/>
        <v>0</v>
      </c>
      <c r="M30" s="2" t="str">
        <f t="shared" si="1"/>
        <v>Sí</v>
      </c>
    </row>
    <row r="31" spans="1:13" x14ac:dyDescent="0.2">
      <c r="A31" s="2">
        <v>30</v>
      </c>
      <c r="B31" s="2">
        <v>134565</v>
      </c>
      <c r="C31" s="2" t="s">
        <v>2</v>
      </c>
      <c r="D31" s="2">
        <f>COUNT(Precios!$AD$2:$AD$215)</f>
        <v>214</v>
      </c>
      <c r="E31" s="3">
        <f>_xlfn.PERCENTILE.INC(Precios!$AD$2:$AD$215,0.25)</f>
        <v>2.0992414691876666</v>
      </c>
      <c r="F31" s="3">
        <f>MEDIAN(Precios!$AD$2:$AD$215)</f>
        <v>2.2000000000000002</v>
      </c>
      <c r="G31" s="3">
        <f>_xlfn.PERCENTILE.INC(Precios!$AD$2:$AD$215,0.75)</f>
        <v>2.3725000000000001</v>
      </c>
      <c r="H31" s="4">
        <v>214</v>
      </c>
      <c r="I31" s="5">
        <v>2.0992414691876671</v>
      </c>
      <c r="J31" s="5">
        <v>2.2000000000000002</v>
      </c>
      <c r="K31" s="5">
        <v>2.3725000000000001</v>
      </c>
      <c r="L31" s="6">
        <f t="shared" si="0"/>
        <v>4.4408920985006262E-16</v>
      </c>
      <c r="M31" s="2" t="str">
        <f t="shared" si="1"/>
        <v>Sí</v>
      </c>
    </row>
    <row r="32" spans="1:13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 x14ac:dyDescent="0.2">
      <c r="A33" s="1" t="s">
        <v>18</v>
      </c>
      <c r="B33" s="1">
        <f>COUNTIF(M2:M31,"No")</f>
        <v>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 x14ac:dyDescent="0.2">
      <c r="A34" s="2" t="s">
        <v>19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15"/>
  <sheetViews>
    <sheetView workbookViewId="0"/>
  </sheetViews>
  <sheetFormatPr baseColWidth="10" defaultColWidth="8.83203125" defaultRowHeight="15" x14ac:dyDescent="0.2"/>
  <sheetData>
    <row r="1" spans="1:30" x14ac:dyDescent="0.2">
      <c r="A1" s="1">
        <v>61903</v>
      </c>
      <c r="B1" s="1">
        <v>388620</v>
      </c>
      <c r="C1" s="1">
        <v>362466</v>
      </c>
      <c r="D1" s="1">
        <v>390554</v>
      </c>
      <c r="E1" s="1">
        <v>392233</v>
      </c>
      <c r="F1" s="1">
        <v>184418</v>
      </c>
      <c r="G1" s="1">
        <v>286158</v>
      </c>
      <c r="H1" s="1">
        <v>60522</v>
      </c>
      <c r="I1" s="1">
        <v>385674</v>
      </c>
      <c r="J1" s="1">
        <v>390914</v>
      </c>
      <c r="K1" s="1">
        <v>61853</v>
      </c>
      <c r="L1" s="1">
        <v>391873</v>
      </c>
      <c r="M1" s="1">
        <v>184824</v>
      </c>
      <c r="N1" s="1">
        <v>2453</v>
      </c>
      <c r="O1" s="1">
        <v>369538</v>
      </c>
      <c r="P1" s="1">
        <v>367431</v>
      </c>
      <c r="Q1" s="1">
        <v>211221</v>
      </c>
      <c r="R1" s="1">
        <v>60267</v>
      </c>
      <c r="S1" s="1">
        <v>380409</v>
      </c>
      <c r="T1" s="1">
        <v>59202</v>
      </c>
      <c r="U1" s="1">
        <v>178724</v>
      </c>
      <c r="V1" s="1">
        <v>329939</v>
      </c>
      <c r="W1" s="1">
        <v>385153</v>
      </c>
      <c r="X1" s="1">
        <v>151276</v>
      </c>
      <c r="Y1" s="1">
        <v>64564</v>
      </c>
      <c r="Z1" s="1">
        <v>65085</v>
      </c>
      <c r="AA1" s="1">
        <v>259255</v>
      </c>
      <c r="AB1" s="1">
        <v>2675</v>
      </c>
      <c r="AC1" s="1">
        <v>385506</v>
      </c>
      <c r="AD1" s="1">
        <v>134565</v>
      </c>
    </row>
    <row r="2" spans="1:30" x14ac:dyDescent="0.2">
      <c r="A2" s="2">
        <v>0.18</v>
      </c>
      <c r="B2" s="2">
        <v>8.6999999999999994E-2</v>
      </c>
      <c r="C2" s="2">
        <v>506</v>
      </c>
      <c r="D2" s="2">
        <v>5.7599999446890422</v>
      </c>
      <c r="E2" s="2">
        <v>500</v>
      </c>
      <c r="F2" s="2">
        <v>7800</v>
      </c>
      <c r="G2" s="2">
        <v>213</v>
      </c>
      <c r="H2" s="2">
        <v>5.8999999999999997E-2</v>
      </c>
      <c r="I2" s="2">
        <v>32900</v>
      </c>
      <c r="J2" s="2">
        <v>580.55555555555554</v>
      </c>
      <c r="K2" s="2">
        <v>3.1269999999999998</v>
      </c>
      <c r="L2" s="2">
        <v>3144</v>
      </c>
      <c r="M2" s="2">
        <v>12646.200645161291</v>
      </c>
      <c r="N2" s="2">
        <v>2.3181911613566291</v>
      </c>
      <c r="O2" s="2">
        <v>3.91</v>
      </c>
      <c r="P2" s="2">
        <v>51.015901060070668</v>
      </c>
      <c r="Q2" s="2">
        <v>80</v>
      </c>
      <c r="R2" s="2">
        <v>8.19</v>
      </c>
      <c r="S2" s="2">
        <v>19550</v>
      </c>
      <c r="T2" s="2">
        <v>1.1499999999999999</v>
      </c>
      <c r="U2" s="2">
        <v>21.83</v>
      </c>
      <c r="V2" s="2">
        <v>8.0999263442180212</v>
      </c>
      <c r="W2" s="2">
        <v>0.96399998886386362</v>
      </c>
      <c r="X2" s="2">
        <v>18</v>
      </c>
      <c r="Y2" s="2">
        <v>24333.333333333328</v>
      </c>
      <c r="Z2" s="2">
        <v>150000</v>
      </c>
      <c r="AA2" s="2">
        <v>23.65</v>
      </c>
      <c r="AB2" s="2">
        <v>2.72</v>
      </c>
      <c r="AC2" s="2">
        <v>585000</v>
      </c>
      <c r="AD2" s="2">
        <v>1.1646913130413701E-2</v>
      </c>
    </row>
    <row r="3" spans="1:30" x14ac:dyDescent="0.2">
      <c r="A3" s="2">
        <v>0.19800000000000001</v>
      </c>
      <c r="B3" s="2">
        <v>9.0999999999999998E-2</v>
      </c>
      <c r="C3" s="2">
        <v>945</v>
      </c>
      <c r="D3" s="2">
        <v>6.4660321776569223</v>
      </c>
      <c r="E3" s="2">
        <v>500</v>
      </c>
      <c r="F3" s="2">
        <v>18550</v>
      </c>
      <c r="G3" s="2">
        <v>415.79166666666669</v>
      </c>
      <c r="H3" s="2">
        <v>6.4699999543286105E-2</v>
      </c>
      <c r="I3" s="2">
        <v>36863.754999999997</v>
      </c>
      <c r="J3" s="2">
        <v>12142.857142857139</v>
      </c>
      <c r="K3" s="2">
        <v>3.1859999999999999</v>
      </c>
      <c r="L3" s="2">
        <v>5029.7700000000004</v>
      </c>
      <c r="M3" s="2">
        <v>245000</v>
      </c>
      <c r="N3" s="2">
        <v>2.5016628293681249</v>
      </c>
      <c r="O3" s="2">
        <v>3.9957173447537468</v>
      </c>
      <c r="P3" s="2">
        <v>109.5054229934924</v>
      </c>
      <c r="Q3" s="2">
        <v>148.57</v>
      </c>
      <c r="R3" s="2">
        <v>25</v>
      </c>
      <c r="S3" s="2">
        <v>21800</v>
      </c>
      <c r="T3" s="2">
        <v>1.25</v>
      </c>
      <c r="U3" s="2">
        <v>22.8</v>
      </c>
      <c r="V3" s="2">
        <v>13.149999454666419</v>
      </c>
      <c r="W3" s="2">
        <v>1.0650000067954819</v>
      </c>
      <c r="X3" s="2">
        <v>25</v>
      </c>
      <c r="Y3" s="2">
        <v>60177.516666666663</v>
      </c>
      <c r="Z3" s="2">
        <v>157500</v>
      </c>
      <c r="AA3" s="2">
        <v>24.17</v>
      </c>
      <c r="AB3" s="2">
        <v>2.72</v>
      </c>
      <c r="AC3" s="2">
        <v>623000</v>
      </c>
      <c r="AD3" s="2">
        <v>1.7749999999999999</v>
      </c>
    </row>
    <row r="4" spans="1:30" x14ac:dyDescent="0.2">
      <c r="A4" s="2">
        <v>0.215</v>
      </c>
      <c r="B4" s="2">
        <v>0.1</v>
      </c>
      <c r="C4" s="2">
        <v>1190</v>
      </c>
      <c r="D4" s="2">
        <v>6.5657564575645759</v>
      </c>
      <c r="E4" s="2">
        <v>793.10344827586209</v>
      </c>
      <c r="F4" s="2">
        <v>26754.407777777778</v>
      </c>
      <c r="G4" s="2">
        <v>750</v>
      </c>
      <c r="H4" s="2">
        <v>6.9000000000000006E-2</v>
      </c>
      <c r="I4" s="2">
        <v>40204.745000000003</v>
      </c>
      <c r="J4" s="2">
        <v>56760</v>
      </c>
      <c r="K4" s="2">
        <v>4.0119999999999996</v>
      </c>
      <c r="L4" s="2">
        <v>35100</v>
      </c>
      <c r="M4" s="2">
        <v>548800</v>
      </c>
      <c r="N4" s="2">
        <v>3.3</v>
      </c>
      <c r="O4" s="2">
        <v>4.1500000000000004</v>
      </c>
      <c r="P4" s="2">
        <v>110</v>
      </c>
      <c r="Q4" s="2">
        <v>150</v>
      </c>
      <c r="R4" s="2">
        <v>28</v>
      </c>
      <c r="S4" s="2">
        <v>21971.16</v>
      </c>
      <c r="T4" s="2">
        <v>1.390319553882734</v>
      </c>
      <c r="U4" s="2">
        <v>22.96</v>
      </c>
      <c r="V4" s="2">
        <v>13.3</v>
      </c>
      <c r="W4" s="2">
        <v>1.17</v>
      </c>
      <c r="X4" s="2">
        <v>29.6</v>
      </c>
      <c r="Y4" s="2">
        <v>73850</v>
      </c>
      <c r="Z4" s="2">
        <v>187999</v>
      </c>
      <c r="AA4" s="2">
        <v>24.25</v>
      </c>
      <c r="AB4" s="2">
        <v>2.72</v>
      </c>
      <c r="AC4" s="2">
        <v>675000</v>
      </c>
      <c r="AD4" s="2">
        <v>1.78185755043815</v>
      </c>
    </row>
    <row r="5" spans="1:30" x14ac:dyDescent="0.2">
      <c r="A5" s="2">
        <v>0.22500000000000001</v>
      </c>
      <c r="B5" s="2">
        <v>0.1065</v>
      </c>
      <c r="C5" s="2">
        <v>1648</v>
      </c>
      <c r="D5" s="2">
        <v>8.0090090090090094</v>
      </c>
      <c r="E5" s="2">
        <v>77200</v>
      </c>
      <c r="F5" s="2">
        <v>45240</v>
      </c>
      <c r="G5" s="2">
        <v>121552.39</v>
      </c>
      <c r="H5" s="2">
        <v>8.4000000000000005E-2</v>
      </c>
      <c r="I5" s="2">
        <v>44325.59</v>
      </c>
      <c r="J5" s="2">
        <v>60480</v>
      </c>
      <c r="K5" s="2">
        <v>5.6136936700925792</v>
      </c>
      <c r="L5" s="2">
        <v>43463.333333333343</v>
      </c>
      <c r="M5" s="2">
        <v>549000</v>
      </c>
      <c r="N5" s="2">
        <v>3.68</v>
      </c>
      <c r="O5" s="2">
        <v>4.4000000000000004</v>
      </c>
      <c r="P5" s="2">
        <v>150.91999999999999</v>
      </c>
      <c r="Q5" s="2">
        <v>150</v>
      </c>
      <c r="R5" s="2">
        <v>30</v>
      </c>
      <c r="S5" s="2">
        <v>40585.99</v>
      </c>
      <c r="T5" s="2">
        <v>1.399182771590346</v>
      </c>
      <c r="U5" s="2">
        <v>23.95</v>
      </c>
      <c r="V5" s="2">
        <v>13.4</v>
      </c>
      <c r="W5" s="2">
        <v>1.2390000000000001</v>
      </c>
      <c r="X5" s="2">
        <v>44.9</v>
      </c>
      <c r="Y5" s="2">
        <v>92600</v>
      </c>
      <c r="Z5" s="2">
        <v>188690</v>
      </c>
      <c r="AA5" s="2">
        <v>24.3</v>
      </c>
      <c r="AB5" s="2">
        <v>2.72</v>
      </c>
      <c r="AC5" s="2">
        <v>675000</v>
      </c>
      <c r="AD5" s="2">
        <v>1.788999828149167</v>
      </c>
    </row>
    <row r="6" spans="1:30" x14ac:dyDescent="0.2">
      <c r="A6" s="2">
        <v>0.22670917463691109</v>
      </c>
      <c r="B6" s="2">
        <v>0.1399999999999999</v>
      </c>
      <c r="C6" s="2">
        <v>317977.40000000002</v>
      </c>
      <c r="D6" s="2">
        <v>8.5642479903693065</v>
      </c>
      <c r="E6" s="2">
        <v>107250</v>
      </c>
      <c r="F6" s="2">
        <v>46000</v>
      </c>
      <c r="G6" s="2">
        <v>122294.61</v>
      </c>
      <c r="H6" s="2">
        <v>9.3200000000000005E-2</v>
      </c>
      <c r="I6" s="2">
        <v>44475</v>
      </c>
      <c r="J6" s="2">
        <v>70900</v>
      </c>
      <c r="K6" s="2">
        <v>5.9</v>
      </c>
      <c r="L6" s="2">
        <v>54500</v>
      </c>
      <c r="M6" s="2">
        <v>593000</v>
      </c>
      <c r="N6" s="2">
        <v>3.8100000244843919</v>
      </c>
      <c r="O6" s="2">
        <v>4.5</v>
      </c>
      <c r="P6" s="2">
        <v>150.91999999999999</v>
      </c>
      <c r="Q6" s="2">
        <v>151</v>
      </c>
      <c r="R6" s="2">
        <v>30</v>
      </c>
      <c r="S6" s="2">
        <v>44180</v>
      </c>
      <c r="T6" s="2">
        <v>1.55</v>
      </c>
      <c r="U6" s="2">
        <v>24.78</v>
      </c>
      <c r="V6" s="2">
        <v>13.4</v>
      </c>
      <c r="W6" s="2">
        <v>1.2507999999999999</v>
      </c>
      <c r="X6" s="2">
        <v>45</v>
      </c>
      <c r="Y6" s="2">
        <v>164000</v>
      </c>
      <c r="Z6" s="2">
        <v>198400</v>
      </c>
      <c r="AA6" s="2">
        <v>24.36305732484076</v>
      </c>
      <c r="AB6" s="2">
        <v>2.93</v>
      </c>
      <c r="AC6" s="2">
        <v>692000</v>
      </c>
      <c r="AD6" s="2">
        <v>1.7957201214945111</v>
      </c>
    </row>
    <row r="7" spans="1:30" x14ac:dyDescent="0.2">
      <c r="A7" s="2"/>
      <c r="B7" s="2"/>
      <c r="C7" s="2"/>
      <c r="D7" s="2"/>
      <c r="E7" s="2">
        <v>114760</v>
      </c>
      <c r="F7" s="2">
        <v>53300</v>
      </c>
      <c r="G7" s="2">
        <v>205462.93</v>
      </c>
      <c r="H7" s="2">
        <v>0.12</v>
      </c>
      <c r="I7" s="2">
        <v>49994</v>
      </c>
      <c r="J7" s="2">
        <v>76000</v>
      </c>
      <c r="K7" s="2">
        <v>8.4499999999999993</v>
      </c>
      <c r="L7" s="2">
        <v>65995</v>
      </c>
      <c r="M7" s="2">
        <v>594318.5</v>
      </c>
      <c r="N7" s="2">
        <v>4.0651199999999994</v>
      </c>
      <c r="O7" s="2">
        <v>4.8</v>
      </c>
      <c r="P7" s="2">
        <v>151.03</v>
      </c>
      <c r="Q7" s="2">
        <v>152</v>
      </c>
      <c r="R7" s="2">
        <v>30</v>
      </c>
      <c r="S7" s="2">
        <v>47120</v>
      </c>
      <c r="T7" s="2">
        <v>1.6444444444444439</v>
      </c>
      <c r="U7" s="2">
        <v>25.96</v>
      </c>
      <c r="V7" s="2">
        <v>13.46</v>
      </c>
      <c r="W7" s="2">
        <v>1.64</v>
      </c>
      <c r="X7" s="2">
        <v>46.25</v>
      </c>
      <c r="Y7" s="2">
        <v>251764.8</v>
      </c>
      <c r="Z7" s="2">
        <v>230000</v>
      </c>
      <c r="AA7" s="2">
        <v>24.45</v>
      </c>
      <c r="AB7" s="2">
        <v>2.93</v>
      </c>
      <c r="AC7" s="2">
        <v>750000</v>
      </c>
      <c r="AD7" s="2">
        <v>1.799001852848007</v>
      </c>
    </row>
    <row r="8" spans="1:30" x14ac:dyDescent="0.2">
      <c r="A8" s="2"/>
      <c r="B8" s="2"/>
      <c r="C8" s="2"/>
      <c r="D8" s="2"/>
      <c r="E8" s="2"/>
      <c r="F8" s="2">
        <v>111000</v>
      </c>
      <c r="G8" s="2">
        <v>241312.36</v>
      </c>
      <c r="H8" s="2">
        <v>0.14000000000000001</v>
      </c>
      <c r="I8" s="2">
        <v>50000</v>
      </c>
      <c r="J8" s="2">
        <v>127170</v>
      </c>
      <c r="K8" s="2">
        <v>9.44</v>
      </c>
      <c r="L8" s="2">
        <v>70000</v>
      </c>
      <c r="M8" s="2">
        <v>616000</v>
      </c>
      <c r="N8" s="2">
        <v>4.3</v>
      </c>
      <c r="O8" s="2">
        <v>4.9800000000000004</v>
      </c>
      <c r="P8" s="2">
        <v>151.03</v>
      </c>
      <c r="Q8" s="2">
        <v>155</v>
      </c>
      <c r="R8" s="2">
        <v>33</v>
      </c>
      <c r="S8" s="2">
        <v>48650</v>
      </c>
      <c r="T8" s="2">
        <v>1.65</v>
      </c>
      <c r="U8" s="2">
        <v>26.5</v>
      </c>
      <c r="V8" s="2">
        <v>13.8</v>
      </c>
      <c r="W8" s="2">
        <v>1.67</v>
      </c>
      <c r="X8" s="2">
        <v>49</v>
      </c>
      <c r="Y8" s="2">
        <v>393750</v>
      </c>
      <c r="Z8" s="2">
        <v>232470</v>
      </c>
      <c r="AA8" s="2">
        <v>24.46218905472637</v>
      </c>
      <c r="AB8" s="2">
        <v>2.99</v>
      </c>
      <c r="AC8" s="2">
        <v>799413.42</v>
      </c>
      <c r="AD8" s="2">
        <v>1.8720681265206811</v>
      </c>
    </row>
    <row r="9" spans="1:30" x14ac:dyDescent="0.2">
      <c r="A9" s="2"/>
      <c r="B9" s="2"/>
      <c r="C9" s="2"/>
      <c r="D9" s="2"/>
      <c r="E9" s="2"/>
      <c r="F9" s="2"/>
      <c r="G9" s="2">
        <v>655550.99</v>
      </c>
      <c r="H9" s="2">
        <v>0.19833333333333331</v>
      </c>
      <c r="I9" s="2">
        <v>71000</v>
      </c>
      <c r="J9" s="2">
        <v>160900</v>
      </c>
      <c r="K9" s="2">
        <v>10</v>
      </c>
      <c r="L9" s="2">
        <v>76500</v>
      </c>
      <c r="M9" s="2">
        <v>649000</v>
      </c>
      <c r="N9" s="2">
        <v>4.9000000000000004</v>
      </c>
      <c r="O9" s="2">
        <v>5</v>
      </c>
      <c r="P9" s="2">
        <v>225.94580188679251</v>
      </c>
      <c r="Q9" s="2">
        <v>160</v>
      </c>
      <c r="R9" s="2">
        <v>35</v>
      </c>
      <c r="S9" s="2">
        <v>54000</v>
      </c>
      <c r="T9" s="2">
        <v>1.666666666666667</v>
      </c>
      <c r="U9" s="2">
        <v>27.14</v>
      </c>
      <c r="V9" s="2">
        <v>13.8</v>
      </c>
      <c r="W9" s="2">
        <v>3.15</v>
      </c>
      <c r="X9" s="2">
        <v>49</v>
      </c>
      <c r="Y9" s="2">
        <v>422049.3</v>
      </c>
      <c r="Z9" s="2">
        <v>240100</v>
      </c>
      <c r="AA9" s="2">
        <v>24.5</v>
      </c>
      <c r="AB9" s="2">
        <v>3</v>
      </c>
      <c r="AC9" s="2">
        <v>810000</v>
      </c>
      <c r="AD9" s="2">
        <v>1.88</v>
      </c>
    </row>
    <row r="10" spans="1:30" x14ac:dyDescent="0.2">
      <c r="A10" s="2"/>
      <c r="B10" s="2"/>
      <c r="C10" s="2"/>
      <c r="D10" s="2"/>
      <c r="E10" s="2"/>
      <c r="F10" s="2"/>
      <c r="G10" s="2"/>
      <c r="H10" s="2"/>
      <c r="I10" s="2">
        <v>4360652.1100000003</v>
      </c>
      <c r="J10" s="2">
        <v>418915</v>
      </c>
      <c r="K10" s="2">
        <v>10.468999999999999</v>
      </c>
      <c r="L10" s="2">
        <v>83000</v>
      </c>
      <c r="M10" s="2">
        <v>683000</v>
      </c>
      <c r="N10" s="2">
        <v>6</v>
      </c>
      <c r="O10" s="2">
        <v>5.14</v>
      </c>
      <c r="P10" s="2">
        <v>388.61702127659572</v>
      </c>
      <c r="Q10" s="2">
        <v>162</v>
      </c>
      <c r="R10" s="2">
        <v>35</v>
      </c>
      <c r="S10" s="2">
        <v>62250</v>
      </c>
      <c r="T10" s="2">
        <v>1.8</v>
      </c>
      <c r="U10" s="2">
        <v>27.376000000000001</v>
      </c>
      <c r="V10" s="2">
        <v>13.885350318471341</v>
      </c>
      <c r="W10" s="2">
        <v>9.1999999999999993</v>
      </c>
      <c r="X10" s="2">
        <v>50</v>
      </c>
      <c r="Y10" s="2">
        <v>424800</v>
      </c>
      <c r="Z10" s="2">
        <v>246459</v>
      </c>
      <c r="AA10" s="2">
        <v>24.89</v>
      </c>
      <c r="AB10" s="2">
        <v>3</v>
      </c>
      <c r="AC10" s="2">
        <v>826068</v>
      </c>
      <c r="AD10" s="2">
        <v>1.89</v>
      </c>
    </row>
    <row r="11" spans="1:3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>
        <v>10.47</v>
      </c>
      <c r="L11" s="2">
        <v>88068.1</v>
      </c>
      <c r="M11" s="2">
        <v>881000</v>
      </c>
      <c r="N11" s="2">
        <v>16.024444444444441</v>
      </c>
      <c r="O11" s="2">
        <v>5.2</v>
      </c>
      <c r="P11" s="2">
        <v>1109.454545454545</v>
      </c>
      <c r="Q11" s="2">
        <v>163.5</v>
      </c>
      <c r="R11" s="2">
        <v>35</v>
      </c>
      <c r="S11" s="2">
        <v>67450</v>
      </c>
      <c r="T11" s="2">
        <v>1.8</v>
      </c>
      <c r="U11" s="2">
        <v>27.6</v>
      </c>
      <c r="V11" s="2">
        <v>13.89432485322896</v>
      </c>
      <c r="W11" s="2">
        <v>12.54</v>
      </c>
      <c r="X11" s="2">
        <v>50</v>
      </c>
      <c r="Y11" s="2">
        <v>449219.63</v>
      </c>
      <c r="Z11" s="2">
        <v>255000</v>
      </c>
      <c r="AA11" s="2">
        <v>24.97</v>
      </c>
      <c r="AB11" s="2">
        <v>3</v>
      </c>
      <c r="AC11" s="2">
        <v>834000</v>
      </c>
      <c r="AD11" s="2">
        <v>1.8900000231337131</v>
      </c>
    </row>
    <row r="12" spans="1:3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>
        <v>140000</v>
      </c>
      <c r="M12" s="2">
        <v>900000</v>
      </c>
      <c r="N12" s="2">
        <v>48.618000000000002</v>
      </c>
      <c r="O12" s="2">
        <v>5.4</v>
      </c>
      <c r="P12" s="2">
        <v>61755</v>
      </c>
      <c r="Q12" s="2">
        <v>165</v>
      </c>
      <c r="R12" s="2">
        <v>38</v>
      </c>
      <c r="S12" s="2">
        <v>77734.22</v>
      </c>
      <c r="T12" s="2">
        <v>1.9230769230769229</v>
      </c>
      <c r="U12" s="2">
        <v>29.22</v>
      </c>
      <c r="V12" s="2">
        <v>14.2</v>
      </c>
      <c r="W12" s="2">
        <v>13.19240104849279</v>
      </c>
      <c r="X12" s="2">
        <v>52.2</v>
      </c>
      <c r="Y12" s="2">
        <v>450000</v>
      </c>
      <c r="Z12" s="2">
        <v>264320</v>
      </c>
      <c r="AA12" s="2">
        <v>25</v>
      </c>
      <c r="AB12" s="2">
        <v>3</v>
      </c>
      <c r="AC12" s="2">
        <v>842482.48</v>
      </c>
      <c r="AD12" s="2">
        <v>1.9</v>
      </c>
    </row>
    <row r="13" spans="1:3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>
        <v>91392</v>
      </c>
      <c r="Q13" s="2">
        <v>174.93333333333331</v>
      </c>
      <c r="R13" s="2">
        <v>38</v>
      </c>
      <c r="S13" s="2">
        <v>85000</v>
      </c>
      <c r="T13" s="2">
        <v>2.34</v>
      </c>
      <c r="U13" s="2">
        <v>29.5</v>
      </c>
      <c r="V13" s="2">
        <v>14.2</v>
      </c>
      <c r="W13" s="2">
        <v>14.37</v>
      </c>
      <c r="X13" s="2">
        <v>58.5</v>
      </c>
      <c r="Y13" s="2">
        <v>458120.72</v>
      </c>
      <c r="Z13" s="2">
        <v>264880.5</v>
      </c>
      <c r="AA13" s="2">
        <v>25.24497574497574</v>
      </c>
      <c r="AB13" s="2">
        <v>3</v>
      </c>
      <c r="AC13" s="2">
        <v>846533</v>
      </c>
      <c r="AD13" s="2">
        <v>1.93</v>
      </c>
    </row>
    <row r="14" spans="1:3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>
        <v>106904.11</v>
      </c>
      <c r="T14" s="2">
        <v>2.35</v>
      </c>
      <c r="U14" s="2">
        <v>31.623999999999999</v>
      </c>
      <c r="V14" s="2">
        <v>14.43540625</v>
      </c>
      <c r="W14" s="2">
        <v>14.4</v>
      </c>
      <c r="X14" s="2">
        <v>59.344552701505762</v>
      </c>
      <c r="Y14" s="2">
        <v>460000</v>
      </c>
      <c r="Z14" s="2">
        <v>269900</v>
      </c>
      <c r="AA14" s="2">
        <v>25.26</v>
      </c>
      <c r="AB14" s="2">
        <v>3.0959548532731369</v>
      </c>
      <c r="AC14" s="2">
        <v>860000</v>
      </c>
      <c r="AD14" s="2">
        <v>1.94</v>
      </c>
    </row>
    <row r="15" spans="1:3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>
        <v>136600</v>
      </c>
      <c r="T15" s="2">
        <v>2.39</v>
      </c>
      <c r="U15" s="2">
        <v>32.167000000000002</v>
      </c>
      <c r="V15" s="2">
        <v>14.459</v>
      </c>
      <c r="W15" s="2">
        <v>14.69</v>
      </c>
      <c r="X15" s="2">
        <v>60</v>
      </c>
      <c r="Y15" s="2">
        <v>460613</v>
      </c>
      <c r="Z15" s="2">
        <v>272800</v>
      </c>
      <c r="AA15" s="2">
        <v>25.266666666666669</v>
      </c>
      <c r="AB15" s="2">
        <v>3.1</v>
      </c>
      <c r="AC15" s="2">
        <v>860000</v>
      </c>
      <c r="AD15" s="2">
        <v>1.94</v>
      </c>
    </row>
    <row r="16" spans="1:3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>
        <v>150000</v>
      </c>
      <c r="T16" s="2">
        <v>2.4</v>
      </c>
      <c r="U16" s="2">
        <v>33.799999999999997</v>
      </c>
      <c r="V16" s="2">
        <v>14.5</v>
      </c>
      <c r="W16" s="2">
        <v>15.5</v>
      </c>
      <c r="X16" s="2">
        <v>65</v>
      </c>
      <c r="Y16" s="2">
        <v>465000</v>
      </c>
      <c r="Z16" s="2">
        <v>272863.2</v>
      </c>
      <c r="AA16" s="2">
        <v>25.39</v>
      </c>
      <c r="AB16" s="2">
        <v>3.1</v>
      </c>
      <c r="AC16" s="2">
        <v>869000</v>
      </c>
      <c r="AD16" s="2">
        <v>1.95</v>
      </c>
    </row>
    <row r="17" spans="1:3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>
        <v>377800.04</v>
      </c>
      <c r="T17" s="2">
        <v>2.4</v>
      </c>
      <c r="U17" s="2">
        <v>34.5</v>
      </c>
      <c r="V17" s="2">
        <v>15.24100012143127</v>
      </c>
      <c r="W17" s="2">
        <v>15.9</v>
      </c>
      <c r="X17" s="2">
        <v>68.93542757417103</v>
      </c>
      <c r="Y17" s="2">
        <v>468790</v>
      </c>
      <c r="Z17" s="2">
        <v>273588.90000000002</v>
      </c>
      <c r="AA17" s="2">
        <v>25.4</v>
      </c>
      <c r="AB17" s="2">
        <v>3.1</v>
      </c>
      <c r="AC17" s="2">
        <v>880000</v>
      </c>
      <c r="AD17" s="2">
        <v>1.95</v>
      </c>
    </row>
    <row r="18" spans="1:3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>
        <v>2.5</v>
      </c>
      <c r="U18" s="2">
        <v>35.4</v>
      </c>
      <c r="V18" s="2">
        <v>15.25</v>
      </c>
      <c r="W18" s="2">
        <v>17.55344332855093</v>
      </c>
      <c r="X18" s="2">
        <v>70</v>
      </c>
      <c r="Y18" s="2">
        <v>470000</v>
      </c>
      <c r="Z18" s="2">
        <v>279500</v>
      </c>
      <c r="AA18" s="2">
        <v>25.46</v>
      </c>
      <c r="AB18" s="2">
        <v>3.14</v>
      </c>
      <c r="AC18" s="2">
        <v>880000</v>
      </c>
      <c r="AD18" s="2">
        <v>1.95</v>
      </c>
    </row>
    <row r="19" spans="1:3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>
        <v>36.292195121951217</v>
      </c>
      <c r="V19" s="2">
        <v>15.8</v>
      </c>
      <c r="W19" s="2">
        <v>18.920000000000002</v>
      </c>
      <c r="X19" s="2">
        <v>71.839064301081891</v>
      </c>
      <c r="Y19" s="2">
        <v>470000</v>
      </c>
      <c r="Z19" s="2">
        <v>284900</v>
      </c>
      <c r="AA19" s="2">
        <v>25.714279999999999</v>
      </c>
      <c r="AB19" s="2">
        <v>3.1990012082158681</v>
      </c>
      <c r="AC19" s="2">
        <v>880280</v>
      </c>
      <c r="AD19" s="2">
        <v>1.95</v>
      </c>
    </row>
    <row r="20" spans="1:3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>
        <v>37</v>
      </c>
      <c r="V20" s="2">
        <v>16.420000000000002</v>
      </c>
      <c r="W20" s="2">
        <v>20</v>
      </c>
      <c r="X20" s="2">
        <v>80.8</v>
      </c>
      <c r="Y20" s="2">
        <v>470000</v>
      </c>
      <c r="Z20" s="2">
        <v>285000</v>
      </c>
      <c r="AA20" s="2">
        <v>25.8</v>
      </c>
      <c r="AB20" s="2">
        <v>3.25</v>
      </c>
      <c r="AC20" s="2">
        <v>885000</v>
      </c>
      <c r="AD20" s="2">
        <v>1.95</v>
      </c>
    </row>
    <row r="21" spans="1:3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>
        <v>39</v>
      </c>
      <c r="V21" s="2">
        <v>16.75</v>
      </c>
      <c r="W21" s="2">
        <v>21.5</v>
      </c>
      <c r="X21" s="2">
        <v>81.032765399737883</v>
      </c>
      <c r="Y21" s="2">
        <v>470040.73</v>
      </c>
      <c r="Z21" s="2">
        <v>290309</v>
      </c>
      <c r="AA21" s="2">
        <v>25.81</v>
      </c>
      <c r="AB21" s="2">
        <v>3.34</v>
      </c>
      <c r="AC21" s="2">
        <v>896900</v>
      </c>
      <c r="AD21" s="2">
        <v>1.95</v>
      </c>
    </row>
    <row r="22" spans="1:3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>
        <v>43.66</v>
      </c>
      <c r="V22" s="2">
        <v>16.834765366820889</v>
      </c>
      <c r="W22" s="2">
        <v>22.319866666666659</v>
      </c>
      <c r="X22" s="2">
        <v>82.6</v>
      </c>
      <c r="Y22" s="2">
        <v>475000</v>
      </c>
      <c r="Z22" s="2">
        <v>293309</v>
      </c>
      <c r="AA22" s="2">
        <v>25.849557522123892</v>
      </c>
      <c r="AB22" s="2">
        <v>3.4006325613549961</v>
      </c>
      <c r="AC22" s="2">
        <v>900000</v>
      </c>
      <c r="AD22" s="2">
        <v>1.96</v>
      </c>
    </row>
    <row r="23" spans="1:3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>
        <v>46</v>
      </c>
      <c r="V23" s="2">
        <v>17.8</v>
      </c>
      <c r="W23" s="2">
        <v>23.98</v>
      </c>
      <c r="X23" s="2">
        <v>84.832822399346</v>
      </c>
      <c r="Y23" s="2">
        <v>475000</v>
      </c>
      <c r="Z23" s="2">
        <v>295000</v>
      </c>
      <c r="AA23" s="2">
        <v>25.97</v>
      </c>
      <c r="AB23" s="2">
        <v>3.4006325613549961</v>
      </c>
      <c r="AC23" s="2">
        <v>905000</v>
      </c>
      <c r="AD23" s="2">
        <v>1.97</v>
      </c>
    </row>
    <row r="24" spans="1:3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>
        <v>783</v>
      </c>
      <c r="V24" s="2">
        <v>18</v>
      </c>
      <c r="W24" s="2">
        <v>24</v>
      </c>
      <c r="X24" s="2">
        <v>88</v>
      </c>
      <c r="Y24" s="2">
        <v>480000</v>
      </c>
      <c r="Z24" s="2">
        <v>295000</v>
      </c>
      <c r="AA24" s="2">
        <v>26</v>
      </c>
      <c r="AB24" s="2">
        <v>3.4018118948824352</v>
      </c>
      <c r="AC24" s="2">
        <v>910000</v>
      </c>
      <c r="AD24" s="2">
        <v>1.97</v>
      </c>
    </row>
    <row r="25" spans="1:3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>
        <v>72000</v>
      </c>
      <c r="V25" s="2">
        <v>18.3</v>
      </c>
      <c r="W25" s="2">
        <v>24.6</v>
      </c>
      <c r="X25" s="2">
        <v>89</v>
      </c>
      <c r="Y25" s="2">
        <v>480000</v>
      </c>
      <c r="Z25" s="2">
        <v>295425</v>
      </c>
      <c r="AA25" s="2">
        <v>26.123595505617981</v>
      </c>
      <c r="AB25" s="2">
        <v>3.4018118948824352</v>
      </c>
      <c r="AC25" s="2">
        <v>910000</v>
      </c>
      <c r="AD25" s="2">
        <v>1.98</v>
      </c>
    </row>
    <row r="26" spans="1:3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>
        <v>107175</v>
      </c>
      <c r="V26" s="2">
        <v>18.561829453910981</v>
      </c>
      <c r="W26" s="2">
        <v>28</v>
      </c>
      <c r="X26" s="2">
        <v>90</v>
      </c>
      <c r="Y26" s="2">
        <v>480000</v>
      </c>
      <c r="Z26" s="2">
        <v>296876.2</v>
      </c>
      <c r="AA26" s="2">
        <v>26.13</v>
      </c>
      <c r="AB26" s="2">
        <v>3.4018118948824352</v>
      </c>
      <c r="AC26" s="2">
        <v>920000</v>
      </c>
      <c r="AD26" s="2">
        <v>1.98</v>
      </c>
    </row>
    <row r="27" spans="1:3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>
        <v>136800</v>
      </c>
      <c r="V27" s="2">
        <v>18.831168831168831</v>
      </c>
      <c r="W27" s="2">
        <v>29.1</v>
      </c>
      <c r="X27" s="2">
        <v>92</v>
      </c>
      <c r="Y27" s="2">
        <v>480000</v>
      </c>
      <c r="Z27" s="2">
        <v>298900</v>
      </c>
      <c r="AA27" s="2">
        <v>26.193957115009741</v>
      </c>
      <c r="AB27" s="2">
        <v>3.4018118948824352</v>
      </c>
      <c r="AC27" s="2">
        <v>925000</v>
      </c>
      <c r="AD27" s="2">
        <v>1.98</v>
      </c>
    </row>
    <row r="28" spans="1:3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>
        <v>228480</v>
      </c>
      <c r="V28" s="2">
        <v>19.137792103142619</v>
      </c>
      <c r="W28" s="2">
        <v>32.5</v>
      </c>
      <c r="X28" s="2">
        <v>93</v>
      </c>
      <c r="Y28" s="2">
        <v>481812.41</v>
      </c>
      <c r="Z28" s="2">
        <v>299000</v>
      </c>
      <c r="AA28" s="2">
        <v>26.587499999999999</v>
      </c>
      <c r="AB28" s="2">
        <v>3.4018118948824352</v>
      </c>
      <c r="AC28" s="2">
        <v>930000</v>
      </c>
      <c r="AD28" s="2">
        <v>1.9850000000000001</v>
      </c>
    </row>
    <row r="29" spans="1:3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>
        <v>409932</v>
      </c>
      <c r="V29" s="2">
        <v>19.16</v>
      </c>
      <c r="W29" s="2">
        <v>36</v>
      </c>
      <c r="X29" s="2">
        <v>95</v>
      </c>
      <c r="Y29" s="2">
        <v>485000</v>
      </c>
      <c r="Z29" s="2">
        <v>299500</v>
      </c>
      <c r="AA29" s="2">
        <v>26.65</v>
      </c>
      <c r="AB29" s="2">
        <v>3.4018118948824352</v>
      </c>
      <c r="AC29" s="2">
        <v>930000</v>
      </c>
      <c r="AD29" s="2">
        <v>1.9850000000000001</v>
      </c>
    </row>
    <row r="30" spans="1:3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>
        <v>411130</v>
      </c>
      <c r="V30" s="2">
        <v>19.165177846353739</v>
      </c>
      <c r="W30" s="2">
        <v>41.6</v>
      </c>
      <c r="X30" s="2">
        <v>97.4</v>
      </c>
      <c r="Y30" s="2">
        <v>485000</v>
      </c>
      <c r="Z30" s="2">
        <v>299900</v>
      </c>
      <c r="AA30" s="2">
        <v>27</v>
      </c>
      <c r="AB30" s="2">
        <v>3.4018118948824352</v>
      </c>
      <c r="AC30" s="2">
        <v>932223.6</v>
      </c>
      <c r="AD30" s="2">
        <v>1.9899998307225379</v>
      </c>
    </row>
    <row r="31" spans="1:3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>
        <v>741600</v>
      </c>
      <c r="V31" s="2">
        <v>20</v>
      </c>
      <c r="W31" s="2">
        <v>74.252887788778878</v>
      </c>
      <c r="X31" s="2">
        <v>107.9940037323707</v>
      </c>
      <c r="Y31" s="2">
        <v>485000</v>
      </c>
      <c r="Z31" s="2">
        <v>299900</v>
      </c>
      <c r="AA31" s="2">
        <v>27</v>
      </c>
      <c r="AB31" s="2">
        <v>3.4018118948824352</v>
      </c>
      <c r="AC31" s="2">
        <v>932282.6</v>
      </c>
      <c r="AD31" s="2">
        <v>1.98999995412361</v>
      </c>
    </row>
    <row r="32" spans="1:3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>
        <v>22.67</v>
      </c>
      <c r="W32" s="2">
        <v>139.72602739726031</v>
      </c>
      <c r="X32" s="2">
        <v>109.7560975609756</v>
      </c>
      <c r="Y32" s="2">
        <v>486101</v>
      </c>
      <c r="Z32" s="2">
        <v>300000</v>
      </c>
      <c r="AA32" s="2">
        <v>27</v>
      </c>
      <c r="AB32" s="2">
        <v>3.4018118948824352</v>
      </c>
      <c r="AC32" s="2">
        <v>935000</v>
      </c>
      <c r="AD32" s="2">
        <v>1.99</v>
      </c>
    </row>
    <row r="33" spans="1:3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>
        <v>22.857142857142861</v>
      </c>
      <c r="W33" s="2">
        <v>9125</v>
      </c>
      <c r="X33" s="2">
        <v>110</v>
      </c>
      <c r="Y33" s="2">
        <v>490000</v>
      </c>
      <c r="Z33" s="2">
        <v>309396</v>
      </c>
      <c r="AA33" s="2">
        <v>27.3</v>
      </c>
      <c r="AB33" s="2">
        <v>3.4018118948824352</v>
      </c>
      <c r="AC33" s="2">
        <v>935000</v>
      </c>
      <c r="AD33" s="2">
        <v>1.99</v>
      </c>
    </row>
    <row r="34" spans="1:3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>
        <v>99944</v>
      </c>
      <c r="X34" s="2">
        <v>111.5824710894705</v>
      </c>
      <c r="Y34" s="2">
        <v>490000</v>
      </c>
      <c r="Z34" s="2">
        <v>310000</v>
      </c>
      <c r="AA34" s="2">
        <v>28.2</v>
      </c>
      <c r="AB34" s="2">
        <v>3.4018118948824352</v>
      </c>
      <c r="AC34" s="2">
        <v>947900</v>
      </c>
      <c r="AD34" s="2">
        <v>1.99</v>
      </c>
    </row>
    <row r="35" spans="1:3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>
        <v>111.6</v>
      </c>
      <c r="Y35" s="2">
        <v>498375.36</v>
      </c>
      <c r="Z35" s="2">
        <v>313433</v>
      </c>
      <c r="AA35" s="2">
        <v>28.274668205424121</v>
      </c>
      <c r="AB35" s="2">
        <v>3.4018118948824352</v>
      </c>
      <c r="AC35" s="2">
        <v>954618</v>
      </c>
      <c r="AD35" s="2">
        <v>1.99</v>
      </c>
    </row>
    <row r="36" spans="1:3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>
        <v>111.7647058823529</v>
      </c>
      <c r="Y36" s="2">
        <v>498984.95</v>
      </c>
      <c r="Z36" s="2">
        <v>314538</v>
      </c>
      <c r="AA36" s="2">
        <v>28.39976905311778</v>
      </c>
      <c r="AB36" s="2">
        <v>3.4018118948824352</v>
      </c>
      <c r="AC36" s="2">
        <v>970000</v>
      </c>
      <c r="AD36" s="2">
        <v>1.99</v>
      </c>
    </row>
    <row r="37" spans="1:3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>
        <v>114.361216730038</v>
      </c>
      <c r="Y37" s="2">
        <v>508593.39250000002</v>
      </c>
      <c r="Z37" s="2">
        <v>315000</v>
      </c>
      <c r="AA37" s="2">
        <v>28.488095238095241</v>
      </c>
      <c r="AB37" s="2">
        <v>3.4018118948824352</v>
      </c>
      <c r="AC37" s="2">
        <v>990964</v>
      </c>
      <c r="AD37" s="2">
        <v>1.99</v>
      </c>
    </row>
    <row r="38" spans="1:3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>
        <v>116.3934426229508</v>
      </c>
      <c r="Y38" s="2">
        <v>510137.01</v>
      </c>
      <c r="Z38" s="2">
        <v>317450</v>
      </c>
      <c r="AA38" s="2">
        <v>28.9</v>
      </c>
      <c r="AB38" s="2">
        <v>3.4018118948824352</v>
      </c>
      <c r="AC38" s="2">
        <v>1004416</v>
      </c>
      <c r="AD38" s="2">
        <v>1.9950000000000001</v>
      </c>
    </row>
    <row r="39" spans="1:3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>
        <v>118.0690749152787</v>
      </c>
      <c r="Y39" s="2">
        <v>520000</v>
      </c>
      <c r="Z39" s="2">
        <v>320877.40000000002</v>
      </c>
      <c r="AA39" s="2">
        <v>29</v>
      </c>
      <c r="AB39" s="2">
        <v>3.4018118948824352</v>
      </c>
      <c r="AC39" s="2">
        <v>1025892</v>
      </c>
      <c r="AD39" s="2">
        <v>2</v>
      </c>
    </row>
    <row r="40" spans="1:3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>
        <v>120</v>
      </c>
      <c r="Y40" s="2">
        <v>520000</v>
      </c>
      <c r="Z40" s="2">
        <v>320877.40000000002</v>
      </c>
      <c r="AA40" s="2">
        <v>29</v>
      </c>
      <c r="AB40" s="2">
        <v>3.4018118948824352</v>
      </c>
      <c r="AC40" s="2">
        <v>1026600</v>
      </c>
      <c r="AD40" s="2">
        <v>2</v>
      </c>
    </row>
    <row r="41" spans="1:3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>
        <v>124.4791666666667</v>
      </c>
      <c r="Y41" s="2">
        <v>520000</v>
      </c>
      <c r="Z41" s="2">
        <v>320877.40000000002</v>
      </c>
      <c r="AA41" s="2">
        <v>29.7</v>
      </c>
      <c r="AB41" s="2">
        <v>3.4018118948824352</v>
      </c>
      <c r="AC41" s="2">
        <v>1027485</v>
      </c>
      <c r="AD41" s="2">
        <v>2</v>
      </c>
    </row>
    <row r="42" spans="1:3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>
        <v>126.962962962963</v>
      </c>
      <c r="Y42" s="2">
        <v>525000</v>
      </c>
      <c r="Z42" s="2">
        <v>320877.40000000002</v>
      </c>
      <c r="AA42" s="2">
        <v>29.740608228980321</v>
      </c>
      <c r="AB42" s="2">
        <v>3.402004234297813</v>
      </c>
      <c r="AC42" s="2">
        <v>1032000</v>
      </c>
      <c r="AD42" s="2">
        <v>2.0299999999999998</v>
      </c>
    </row>
    <row r="43" spans="1:3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>
        <v>129.70479704797049</v>
      </c>
      <c r="Y43" s="2">
        <v>530000</v>
      </c>
      <c r="Z43" s="2">
        <v>323900</v>
      </c>
      <c r="AA43" s="2">
        <v>29.9</v>
      </c>
      <c r="AB43" s="2">
        <v>3.5</v>
      </c>
      <c r="AC43" s="2">
        <v>1049000</v>
      </c>
      <c r="AD43" s="2">
        <v>2.0499999999999998</v>
      </c>
    </row>
    <row r="44" spans="1:3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>
        <v>130</v>
      </c>
      <c r="Y44" s="2">
        <v>535000</v>
      </c>
      <c r="Z44" s="2">
        <v>324150</v>
      </c>
      <c r="AA44" s="2">
        <v>30</v>
      </c>
      <c r="AB44" s="2">
        <v>3.5</v>
      </c>
      <c r="AC44" s="2">
        <v>1050000</v>
      </c>
      <c r="AD44" s="2">
        <v>2.0499999999999998</v>
      </c>
    </row>
    <row r="45" spans="1:3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>
        <v>139</v>
      </c>
      <c r="Y45" s="2">
        <v>539212.80000000005</v>
      </c>
      <c r="Z45" s="2">
        <v>325000</v>
      </c>
      <c r="AA45" s="2">
        <v>30</v>
      </c>
      <c r="AB45" s="2">
        <v>3.76</v>
      </c>
      <c r="AC45" s="2">
        <v>1050000</v>
      </c>
      <c r="AD45" s="2">
        <v>2.0699999999999998</v>
      </c>
    </row>
    <row r="46" spans="1:3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>
        <v>139.5</v>
      </c>
      <c r="Y46" s="2">
        <v>540000</v>
      </c>
      <c r="Z46" s="2">
        <v>328000</v>
      </c>
      <c r="AA46" s="2">
        <v>30</v>
      </c>
      <c r="AB46" s="2">
        <v>3.76</v>
      </c>
      <c r="AC46" s="2">
        <v>1055761.81</v>
      </c>
      <c r="AD46" s="2">
        <v>2.0699999999999998</v>
      </c>
    </row>
    <row r="47" spans="1:3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>
        <v>146.69999999999999</v>
      </c>
      <c r="Y47" s="2">
        <v>540000</v>
      </c>
      <c r="Z47" s="2">
        <v>330000</v>
      </c>
      <c r="AA47" s="2">
        <v>30</v>
      </c>
      <c r="AB47" s="2">
        <v>3.76</v>
      </c>
      <c r="AC47" s="2">
        <v>1063829</v>
      </c>
      <c r="AD47" s="2">
        <v>2.0699999999999998</v>
      </c>
    </row>
    <row r="48" spans="1:3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>
        <v>149.6703806870938</v>
      </c>
      <c r="Y48" s="2">
        <v>544681.16</v>
      </c>
      <c r="Z48" s="2">
        <v>332900</v>
      </c>
      <c r="AA48" s="2">
        <v>30</v>
      </c>
      <c r="AB48" s="2">
        <v>3.76</v>
      </c>
      <c r="AC48" s="2">
        <v>1065000</v>
      </c>
      <c r="AD48" s="2">
        <v>2.08</v>
      </c>
    </row>
    <row r="49" spans="1:3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>
        <v>150</v>
      </c>
      <c r="Y49" s="2">
        <v>545000</v>
      </c>
      <c r="Z49" s="2">
        <v>332990</v>
      </c>
      <c r="AA49" s="2">
        <v>30</v>
      </c>
      <c r="AB49" s="2">
        <v>3.97</v>
      </c>
      <c r="AC49" s="2">
        <v>1067664</v>
      </c>
      <c r="AD49" s="2">
        <v>2.08</v>
      </c>
    </row>
    <row r="50" spans="1:3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>
        <v>154.30000000000001</v>
      </c>
      <c r="Y50" s="2">
        <v>545101</v>
      </c>
      <c r="Z50" s="2">
        <v>333628.7</v>
      </c>
      <c r="AA50" s="2">
        <v>30</v>
      </c>
      <c r="AB50" s="2">
        <v>3.98</v>
      </c>
      <c r="AC50" s="2">
        <v>1072808.8</v>
      </c>
      <c r="AD50" s="2">
        <v>2.08</v>
      </c>
    </row>
    <row r="51" spans="1:3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>
        <v>155.49076773566571</v>
      </c>
      <c r="Y51" s="2">
        <v>550000</v>
      </c>
      <c r="Z51" s="2">
        <v>334000</v>
      </c>
      <c r="AA51" s="2">
        <v>30.199998911200211</v>
      </c>
      <c r="AB51" s="2">
        <v>4</v>
      </c>
      <c r="AC51" s="2">
        <v>1075000</v>
      </c>
      <c r="AD51" s="2">
        <v>2.08</v>
      </c>
    </row>
    <row r="52" spans="1:3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>
        <v>158.11965811965811</v>
      </c>
      <c r="Y52" s="2">
        <v>555000</v>
      </c>
      <c r="Z52" s="2">
        <v>334000</v>
      </c>
      <c r="AA52" s="2">
        <v>30.28</v>
      </c>
      <c r="AB52" s="2">
        <v>4</v>
      </c>
      <c r="AC52" s="2">
        <v>1090000</v>
      </c>
      <c r="AD52" s="2">
        <v>2.0899500838926182</v>
      </c>
    </row>
    <row r="53" spans="1:3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>
        <v>159</v>
      </c>
      <c r="Y53" s="2">
        <v>565877.26</v>
      </c>
      <c r="Z53" s="2">
        <v>347666.66666666669</v>
      </c>
      <c r="AA53" s="2">
        <v>30.3</v>
      </c>
      <c r="AB53" s="2">
        <v>4</v>
      </c>
      <c r="AC53" s="2">
        <v>1092562</v>
      </c>
      <c r="AD53" s="2">
        <v>2.09</v>
      </c>
    </row>
    <row r="54" spans="1:3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>
        <v>159</v>
      </c>
      <c r="Y54" s="2">
        <v>569813.21</v>
      </c>
      <c r="Z54" s="2">
        <v>347833.33333333331</v>
      </c>
      <c r="AA54" s="2">
        <v>30.4</v>
      </c>
      <c r="AB54" s="2">
        <v>4.1500000000000004</v>
      </c>
      <c r="AC54" s="2">
        <v>1093000</v>
      </c>
      <c r="AD54" s="2">
        <v>2.0986363636363641</v>
      </c>
    </row>
    <row r="55" spans="1:3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>
        <v>182.9</v>
      </c>
      <c r="Y55" s="2">
        <v>570000</v>
      </c>
      <c r="Z55" s="2">
        <v>354800</v>
      </c>
      <c r="AA55" s="2">
        <v>30.433083511777301</v>
      </c>
      <c r="AB55" s="2">
        <v>4.2</v>
      </c>
      <c r="AC55" s="2">
        <v>1096539.31</v>
      </c>
      <c r="AD55" s="2">
        <v>2.0989999380223519</v>
      </c>
    </row>
    <row r="56" spans="1:3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>
        <v>183.18709677419349</v>
      </c>
      <c r="Y56" s="2">
        <v>573468.67000000004</v>
      </c>
      <c r="Z56" s="2">
        <v>358000</v>
      </c>
      <c r="AA56" s="2">
        <v>30.5</v>
      </c>
      <c r="AB56" s="2">
        <v>4.2</v>
      </c>
      <c r="AC56" s="2">
        <v>1098089.8274999999</v>
      </c>
      <c r="AD56" s="2">
        <v>2.0999660626836119</v>
      </c>
    </row>
    <row r="57" spans="1:3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>
        <v>222</v>
      </c>
      <c r="Y57" s="2">
        <v>580000</v>
      </c>
      <c r="Z57" s="2">
        <v>358500</v>
      </c>
      <c r="AA57" s="2">
        <v>30.692658647863961</v>
      </c>
      <c r="AB57" s="2">
        <v>4.26</v>
      </c>
      <c r="AC57" s="2">
        <v>1100000</v>
      </c>
      <c r="AD57" s="2">
        <v>2.0999906667081478</v>
      </c>
    </row>
    <row r="58" spans="1:3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>
        <v>222.9299363057325</v>
      </c>
      <c r="Y58" s="2">
        <v>580553.39</v>
      </c>
      <c r="Z58" s="2">
        <v>380000</v>
      </c>
      <c r="AA58" s="2">
        <v>30.7</v>
      </c>
      <c r="AB58" s="2">
        <v>4.26</v>
      </c>
      <c r="AC58" s="2">
        <v>1100000</v>
      </c>
      <c r="AD58" s="2">
        <v>2.0999998763301209</v>
      </c>
    </row>
    <row r="59" spans="1:3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>
        <v>412</v>
      </c>
      <c r="Y59" s="2">
        <v>582495</v>
      </c>
      <c r="Z59" s="2">
        <v>380000</v>
      </c>
      <c r="AA59" s="2">
        <v>30.707383818080551</v>
      </c>
      <c r="AB59" s="2">
        <v>4.26</v>
      </c>
      <c r="AC59" s="2">
        <v>1121000</v>
      </c>
      <c r="AD59" s="2">
        <v>2.0999999728861432</v>
      </c>
    </row>
    <row r="60" spans="1:3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>
        <v>485.33333333333331</v>
      </c>
      <c r="Y60" s="2">
        <v>589990</v>
      </c>
      <c r="Z60" s="2">
        <v>389000</v>
      </c>
      <c r="AA60" s="2">
        <v>30.987564008778339</v>
      </c>
      <c r="AB60" s="2">
        <v>4.26</v>
      </c>
      <c r="AC60" s="2">
        <v>1125231.46</v>
      </c>
      <c r="AD60" s="2">
        <v>2.0999999801761202</v>
      </c>
    </row>
    <row r="61" spans="1:3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>
        <v>73800</v>
      </c>
      <c r="Y61" s="2">
        <v>599690</v>
      </c>
      <c r="Z61" s="2">
        <v>389000</v>
      </c>
      <c r="AA61" s="2">
        <v>31</v>
      </c>
      <c r="AB61" s="2">
        <v>4.26</v>
      </c>
      <c r="AC61" s="2">
        <v>1127490</v>
      </c>
      <c r="AD61" s="2">
        <v>2.0999999883021379</v>
      </c>
    </row>
    <row r="62" spans="1:3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>
        <v>531370.38</v>
      </c>
      <c r="Y62" s="2">
        <v>600000</v>
      </c>
      <c r="Z62" s="2">
        <v>393351.22</v>
      </c>
      <c r="AA62" s="2">
        <v>31.003751489903468</v>
      </c>
      <c r="AB62" s="2">
        <v>4.26</v>
      </c>
      <c r="AC62" s="2">
        <v>1130000</v>
      </c>
      <c r="AD62" s="2">
        <v>2.1</v>
      </c>
    </row>
    <row r="63" spans="1:3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>
        <v>1388800</v>
      </c>
      <c r="Y63" s="2">
        <v>620000</v>
      </c>
      <c r="Z63" s="2">
        <v>395000</v>
      </c>
      <c r="AA63" s="2">
        <v>31.19</v>
      </c>
      <c r="AB63" s="2">
        <v>4.26</v>
      </c>
      <c r="AC63" s="2">
        <v>1135000</v>
      </c>
      <c r="AD63" s="2">
        <v>2.1</v>
      </c>
    </row>
    <row r="64" spans="1:3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>
        <v>775000</v>
      </c>
      <c r="Z64" s="2">
        <v>422800</v>
      </c>
      <c r="AA64" s="2">
        <v>31.2</v>
      </c>
      <c r="AB64" s="2">
        <v>4.3</v>
      </c>
      <c r="AC64" s="2">
        <v>1140985.8899999999</v>
      </c>
      <c r="AD64" s="2">
        <v>2.1</v>
      </c>
    </row>
    <row r="65" spans="1:3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>
        <v>425980</v>
      </c>
      <c r="AA65" s="2">
        <v>31.30117276780696</v>
      </c>
      <c r="AB65" s="2">
        <v>4.3</v>
      </c>
      <c r="AC65" s="2">
        <v>1143871</v>
      </c>
      <c r="AD65" s="2">
        <v>2.1</v>
      </c>
    </row>
    <row r="66" spans="1:3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>
        <v>434983.4</v>
      </c>
      <c r="AA66" s="2">
        <v>31.5</v>
      </c>
      <c r="AB66" s="2">
        <v>4.5</v>
      </c>
      <c r="AC66" s="2">
        <v>1145781.53</v>
      </c>
      <c r="AD66" s="2">
        <v>2.1</v>
      </c>
    </row>
    <row r="67" spans="1:3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>
        <v>436517.4</v>
      </c>
      <c r="AA67" s="2">
        <v>32</v>
      </c>
      <c r="AB67" s="2">
        <v>4.5000000000000009</v>
      </c>
      <c r="AC67" s="2">
        <v>1147525.69</v>
      </c>
      <c r="AD67" s="2">
        <v>2.1</v>
      </c>
    </row>
    <row r="68" spans="1:3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>
        <v>460000</v>
      </c>
      <c r="AA68" s="2">
        <v>32.090000000000003</v>
      </c>
      <c r="AB68" s="2">
        <v>4.5999999999999996</v>
      </c>
      <c r="AC68" s="2">
        <v>1150000</v>
      </c>
      <c r="AD68" s="2">
        <v>2.1</v>
      </c>
    </row>
    <row r="69" spans="1:3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>
        <v>465601.58</v>
      </c>
      <c r="AA69" s="2">
        <v>32.5</v>
      </c>
      <c r="AB69" s="2">
        <v>4.5999999999999996</v>
      </c>
      <c r="AC69" s="2">
        <v>1150000</v>
      </c>
      <c r="AD69" s="2">
        <v>2.1</v>
      </c>
    </row>
    <row r="70" spans="1:3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>
        <v>465900</v>
      </c>
      <c r="AA70" s="2">
        <v>32.700000000000003</v>
      </c>
      <c r="AB70" s="2">
        <v>4.76</v>
      </c>
      <c r="AC70" s="2">
        <v>1157164.76</v>
      </c>
      <c r="AD70" s="2">
        <v>2.1</v>
      </c>
    </row>
    <row r="71" spans="1:3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>
        <v>473545.8</v>
      </c>
      <c r="AA71" s="2">
        <v>32.72</v>
      </c>
      <c r="AB71" s="2">
        <v>4.78</v>
      </c>
      <c r="AC71" s="2">
        <v>1163295</v>
      </c>
      <c r="AD71" s="2">
        <v>2.1</v>
      </c>
    </row>
    <row r="72" spans="1:3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>
        <v>482313</v>
      </c>
      <c r="AA72" s="2">
        <v>32.799999999999997</v>
      </c>
      <c r="AB72" s="2">
        <v>4.8</v>
      </c>
      <c r="AC72" s="2">
        <v>1163775</v>
      </c>
      <c r="AD72" s="2">
        <v>2.1</v>
      </c>
    </row>
    <row r="73" spans="1:3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>
        <v>589900</v>
      </c>
      <c r="AA73" s="2">
        <v>32.799999999999997</v>
      </c>
      <c r="AB73" s="2">
        <v>4.8</v>
      </c>
      <c r="AC73" s="2">
        <v>1167975.56</v>
      </c>
      <c r="AD73" s="2">
        <v>2.1</v>
      </c>
    </row>
    <row r="74" spans="1:3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>
        <v>32.99</v>
      </c>
      <c r="AB74" s="2">
        <v>4.8699999999999992</v>
      </c>
      <c r="AC74" s="2">
        <v>1168696.54</v>
      </c>
      <c r="AD74" s="2">
        <v>2.1</v>
      </c>
    </row>
    <row r="75" spans="1:3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>
        <v>33</v>
      </c>
      <c r="AB75" s="2">
        <v>4.87</v>
      </c>
      <c r="AC75" s="2">
        <v>1170850.04</v>
      </c>
      <c r="AD75" s="2">
        <v>2.1</v>
      </c>
    </row>
    <row r="76" spans="1:3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>
        <v>33.200000000000003</v>
      </c>
      <c r="AB76" s="2">
        <v>4.87</v>
      </c>
      <c r="AC76" s="2">
        <v>1178943.8999999999</v>
      </c>
      <c r="AD76" s="2">
        <v>2.11</v>
      </c>
    </row>
    <row r="77" spans="1:3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>
        <v>33.299999999999997</v>
      </c>
      <c r="AB77" s="2">
        <v>4.9499999999999993</v>
      </c>
      <c r="AC77" s="2">
        <v>1190000</v>
      </c>
      <c r="AD77" s="2">
        <v>2.11</v>
      </c>
    </row>
    <row r="78" spans="1:3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>
        <v>33.333333333333343</v>
      </c>
      <c r="AB78" s="2">
        <v>4.99</v>
      </c>
      <c r="AC78" s="2">
        <v>1200000</v>
      </c>
      <c r="AD78" s="2">
        <v>2.12</v>
      </c>
    </row>
    <row r="79" spans="1:3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>
        <v>33.5</v>
      </c>
      <c r="AB79" s="2">
        <v>5.0999999999999996</v>
      </c>
      <c r="AC79" s="2">
        <v>1200000</v>
      </c>
      <c r="AD79" s="2">
        <v>2.12</v>
      </c>
    </row>
    <row r="80" spans="1:3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>
        <v>33.86</v>
      </c>
      <c r="AB80" s="2">
        <v>5.1420000000000003</v>
      </c>
      <c r="AC80" s="2">
        <v>1200000</v>
      </c>
      <c r="AD80" s="2">
        <v>2.1200000303192121</v>
      </c>
    </row>
    <row r="81" spans="1:3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>
        <v>34</v>
      </c>
      <c r="AB81" s="2">
        <v>5.19</v>
      </c>
      <c r="AC81" s="2">
        <v>1200000</v>
      </c>
      <c r="AD81" s="2">
        <v>2.13</v>
      </c>
    </row>
    <row r="82" spans="1:3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>
        <v>34.974282147315847</v>
      </c>
      <c r="AB82" s="2">
        <v>5.19</v>
      </c>
      <c r="AC82" s="2">
        <v>1208096.8600000001</v>
      </c>
      <c r="AD82" s="2">
        <v>2.14</v>
      </c>
    </row>
    <row r="83" spans="1:3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>
        <v>35</v>
      </c>
      <c r="AB83" s="2">
        <v>5.2</v>
      </c>
      <c r="AC83" s="2">
        <v>1211095</v>
      </c>
      <c r="AD83" s="2">
        <v>2.147999993265687</v>
      </c>
    </row>
    <row r="84" spans="1:3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>
        <v>36.639118457300277</v>
      </c>
      <c r="AB84" s="2">
        <v>5.2</v>
      </c>
      <c r="AC84" s="2">
        <v>1221541.6599999999</v>
      </c>
      <c r="AD84" s="2">
        <v>2.15</v>
      </c>
    </row>
    <row r="85" spans="1:3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>
        <v>40</v>
      </c>
      <c r="AB85" s="2">
        <v>5.2</v>
      </c>
      <c r="AC85" s="2">
        <v>1227495</v>
      </c>
      <c r="AD85" s="2">
        <v>2.15</v>
      </c>
    </row>
    <row r="86" spans="1:3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>
        <v>41</v>
      </c>
      <c r="AB86" s="2">
        <v>5.3</v>
      </c>
      <c r="AC86" s="2">
        <v>1250000</v>
      </c>
      <c r="AD86" s="2">
        <v>2.15</v>
      </c>
    </row>
    <row r="87" spans="1:3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>
        <v>43</v>
      </c>
      <c r="AB87" s="2">
        <v>5.5</v>
      </c>
      <c r="AC87" s="2">
        <v>1254938.5</v>
      </c>
      <c r="AD87" s="2">
        <v>2.15</v>
      </c>
    </row>
    <row r="88" spans="1:3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>
        <v>5.5</v>
      </c>
      <c r="AC88" s="2">
        <v>1268000</v>
      </c>
      <c r="AD88" s="2">
        <v>2.15</v>
      </c>
    </row>
    <row r="89" spans="1:3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>
        <v>5.5</v>
      </c>
      <c r="AC89" s="2">
        <v>1268622.72</v>
      </c>
      <c r="AD89" s="2">
        <v>2.16</v>
      </c>
    </row>
    <row r="90" spans="1:3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>
        <v>5.5</v>
      </c>
      <c r="AC90" s="2">
        <v>1280000</v>
      </c>
      <c r="AD90" s="2">
        <v>2.17</v>
      </c>
    </row>
    <row r="91" spans="1:3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>
        <v>5.5</v>
      </c>
      <c r="AC91" s="2">
        <v>1282424</v>
      </c>
      <c r="AD91" s="2">
        <v>2.17</v>
      </c>
    </row>
    <row r="92" spans="1:3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>
        <v>5.6004672897196262</v>
      </c>
      <c r="AC92" s="2">
        <v>1291513.78</v>
      </c>
      <c r="AD92" s="2">
        <v>2.17</v>
      </c>
    </row>
    <row r="93" spans="1:3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>
        <v>5.8007004138809286</v>
      </c>
      <c r="AC93" s="2">
        <v>1293121.8799999999</v>
      </c>
      <c r="AD93" s="2">
        <v>2.179999941033651</v>
      </c>
    </row>
    <row r="94" spans="1:3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>
        <v>5.8998154231190361</v>
      </c>
      <c r="AC94" s="2">
        <v>1294713.7</v>
      </c>
      <c r="AD94" s="2">
        <v>2.1800000000000002</v>
      </c>
    </row>
    <row r="95" spans="1:3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>
        <v>5.8998154231190361</v>
      </c>
      <c r="AC95" s="2">
        <v>1296000</v>
      </c>
      <c r="AD95" s="2">
        <v>2.1800000000000002</v>
      </c>
    </row>
    <row r="96" spans="1:3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>
        <v>5.8998154231190361</v>
      </c>
      <c r="AC96" s="2">
        <v>1301678.53</v>
      </c>
      <c r="AD96" s="2">
        <v>2.1800190273410101</v>
      </c>
    </row>
    <row r="97" spans="1:3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>
        <v>5.8998154231190361</v>
      </c>
      <c r="AC97" s="2">
        <v>1306891.3</v>
      </c>
      <c r="AD97" s="2">
        <v>2.19</v>
      </c>
    </row>
    <row r="98" spans="1:3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>
        <v>5.8998154231190361</v>
      </c>
      <c r="AC98" s="2">
        <v>1308412</v>
      </c>
      <c r="AD98" s="2">
        <v>2.19</v>
      </c>
    </row>
    <row r="99" spans="1:3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>
        <v>5.8998154231190361</v>
      </c>
      <c r="AC99" s="2">
        <v>1318052.21</v>
      </c>
      <c r="AD99" s="2">
        <v>2.19</v>
      </c>
    </row>
    <row r="100" spans="1:3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>
        <v>5.8998154231190361</v>
      </c>
      <c r="AC100" s="2">
        <v>1320217.1599999999</v>
      </c>
      <c r="AD100" s="2">
        <v>2.1949999999999998</v>
      </c>
    </row>
    <row r="101" spans="1:3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>
        <v>5.8998154231190361</v>
      </c>
      <c r="AC101" s="2">
        <v>1325000</v>
      </c>
      <c r="AD101" s="2">
        <v>2.1999956109229499</v>
      </c>
    </row>
    <row r="102" spans="1:3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>
        <v>5.8998154231190361</v>
      </c>
      <c r="AC102" s="2">
        <v>1326579.6000000001</v>
      </c>
      <c r="AD102" s="2">
        <v>2.2000000000000002</v>
      </c>
    </row>
    <row r="103" spans="1:3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>
        <v>5.8998154231190361</v>
      </c>
      <c r="AC103" s="2">
        <v>1329536.68</v>
      </c>
      <c r="AD103" s="2">
        <v>2.2000000000000002</v>
      </c>
    </row>
    <row r="104" spans="1:3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>
        <v>5.8998154231190361</v>
      </c>
      <c r="AC104" s="2">
        <v>1331630</v>
      </c>
      <c r="AD104" s="2">
        <v>2.2000000000000002</v>
      </c>
    </row>
    <row r="105" spans="1:3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>
        <v>5.8998154231190361</v>
      </c>
      <c r="AC105" s="2">
        <v>1333748.57</v>
      </c>
      <c r="AD105" s="2">
        <v>2.2000000000000002</v>
      </c>
    </row>
    <row r="106" spans="1:3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>
        <v>5.9</v>
      </c>
      <c r="AC106" s="2">
        <v>1336670.72</v>
      </c>
      <c r="AD106" s="2">
        <v>2.2000000000000002</v>
      </c>
    </row>
    <row r="107" spans="1:3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>
        <v>5.9</v>
      </c>
      <c r="AC107" s="2">
        <v>1340000</v>
      </c>
      <c r="AD107" s="2">
        <v>2.2000000000000002</v>
      </c>
    </row>
    <row r="108" spans="1:3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>
        <v>5.9</v>
      </c>
      <c r="AC108" s="2">
        <v>1344590.18</v>
      </c>
      <c r="AD108" s="2">
        <v>2.2000000000000002</v>
      </c>
    </row>
    <row r="109" spans="1:3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>
        <v>5.9</v>
      </c>
      <c r="AC109" s="2">
        <v>1345879.68</v>
      </c>
      <c r="AD109" s="2">
        <v>2.2000000000000002</v>
      </c>
    </row>
    <row r="110" spans="1:3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>
        <v>5.9</v>
      </c>
      <c r="AC110" s="2">
        <v>1350000</v>
      </c>
      <c r="AD110" s="2">
        <v>2.2000000000000002</v>
      </c>
    </row>
    <row r="111" spans="1:3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>
        <v>5.9</v>
      </c>
      <c r="AC111" s="2">
        <v>1350150</v>
      </c>
      <c r="AD111" s="2">
        <v>2.2000000000000002</v>
      </c>
    </row>
    <row r="112" spans="1:3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>
        <v>5.9</v>
      </c>
      <c r="AC112" s="2">
        <v>1352641.7875000001</v>
      </c>
      <c r="AD112" s="2">
        <v>2.2000000000000002</v>
      </c>
    </row>
    <row r="113" spans="1:3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>
        <v>5.9</v>
      </c>
      <c r="AC113" s="2">
        <v>1355000</v>
      </c>
      <c r="AD113" s="2">
        <v>2.2000000000000002</v>
      </c>
    </row>
    <row r="114" spans="1:3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>
        <v>5.9</v>
      </c>
      <c r="AC114" s="2">
        <v>1358251.15</v>
      </c>
      <c r="AD114" s="2">
        <v>2.2000000000000002</v>
      </c>
    </row>
    <row r="115" spans="1:3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>
        <v>5.9</v>
      </c>
      <c r="AC115" s="2">
        <v>1365817.49</v>
      </c>
      <c r="AD115" s="2">
        <v>2.2000000000000002</v>
      </c>
    </row>
    <row r="116" spans="1:3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>
        <v>5.9</v>
      </c>
      <c r="AC116" s="2">
        <v>1370511.8</v>
      </c>
      <c r="AD116" s="2">
        <v>2.2000000000000002</v>
      </c>
    </row>
    <row r="117" spans="1:3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>
        <v>6</v>
      </c>
      <c r="AC117" s="2">
        <v>1372000</v>
      </c>
      <c r="AD117" s="2">
        <v>2.2000000000000002</v>
      </c>
    </row>
    <row r="118" spans="1:3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>
        <v>6.3244304045834472</v>
      </c>
      <c r="AC118" s="2">
        <v>1372965.4</v>
      </c>
      <c r="AD118" s="2">
        <v>2.2000000000000002</v>
      </c>
    </row>
    <row r="119" spans="1:3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>
        <v>6.4805141026490451</v>
      </c>
      <c r="AC119" s="2">
        <v>1373654.52</v>
      </c>
      <c r="AD119" s="2">
        <v>2.2000000635382762</v>
      </c>
    </row>
    <row r="120" spans="1:3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>
        <v>7.25</v>
      </c>
      <c r="AC120" s="2">
        <v>1385000</v>
      </c>
      <c r="AD120" s="2">
        <v>2.21</v>
      </c>
    </row>
    <row r="121" spans="1:3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>
        <v>7.5</v>
      </c>
      <c r="AC121" s="2">
        <v>1404200</v>
      </c>
      <c r="AD121" s="2">
        <v>2.2250000000000001</v>
      </c>
    </row>
    <row r="122" spans="1:3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>
        <v>45</v>
      </c>
      <c r="AC122" s="2">
        <v>1423000</v>
      </c>
      <c r="AD122" s="2">
        <v>2.2299999844845861</v>
      </c>
    </row>
    <row r="123" spans="1:3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>
        <v>1436860</v>
      </c>
      <c r="AD123" s="2">
        <v>2.23</v>
      </c>
    </row>
    <row r="124" spans="1:3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>
        <v>1485000</v>
      </c>
      <c r="AD124" s="2">
        <v>2.23</v>
      </c>
    </row>
    <row r="125" spans="1:3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>
        <v>1492539.05</v>
      </c>
      <c r="AD125" s="2">
        <v>2.230000059974603</v>
      </c>
    </row>
    <row r="126" spans="1:3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>
        <v>1517000</v>
      </c>
      <c r="AD126" s="2">
        <v>2.2300008600865948</v>
      </c>
    </row>
    <row r="127" spans="1:3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>
        <v>1643874.05</v>
      </c>
      <c r="AD127" s="2">
        <v>2.25</v>
      </c>
    </row>
    <row r="128" spans="1:3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>
        <v>1790213.4</v>
      </c>
      <c r="AD128" s="2">
        <v>2.25</v>
      </c>
    </row>
    <row r="129" spans="1:3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>
        <v>2.25</v>
      </c>
    </row>
    <row r="130" spans="1:3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>
        <v>2.25</v>
      </c>
    </row>
    <row r="131" spans="1:3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>
        <v>2.25</v>
      </c>
    </row>
    <row r="132" spans="1:3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>
        <v>2.25</v>
      </c>
    </row>
    <row r="133" spans="1:3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>
        <v>2.25</v>
      </c>
    </row>
    <row r="134" spans="1:3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>
        <v>2.25</v>
      </c>
    </row>
    <row r="135" spans="1:3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>
        <v>2.250012712133731</v>
      </c>
    </row>
    <row r="136" spans="1:3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>
        <v>2.2500643004115228</v>
      </c>
    </row>
    <row r="137" spans="1:3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>
        <v>2.2599999999999998</v>
      </c>
    </row>
    <row r="138" spans="1:3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>
        <v>2.2599999999999998</v>
      </c>
    </row>
    <row r="139" spans="1:3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>
        <v>2.2666484964113751</v>
      </c>
    </row>
    <row r="140" spans="1:3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>
        <v>2.2890092913299251</v>
      </c>
    </row>
    <row r="141" spans="1:3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>
        <v>2.298</v>
      </c>
    </row>
    <row r="142" spans="1:3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>
        <v>2.2985161478033169</v>
      </c>
    </row>
    <row r="143" spans="1:3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>
        <v>2.2999999999999998</v>
      </c>
    </row>
    <row r="144" spans="1:3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>
        <v>2.2999999999999998</v>
      </c>
    </row>
    <row r="145" spans="1:3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>
        <v>2.2999999999999998</v>
      </c>
    </row>
    <row r="146" spans="1:3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>
        <v>2.2999999999999998</v>
      </c>
    </row>
    <row r="147" spans="1:3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>
        <v>2.2999999999999998</v>
      </c>
    </row>
    <row r="148" spans="1:3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>
        <v>2.2999999999999998</v>
      </c>
    </row>
    <row r="149" spans="1:3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>
        <v>2.2999999999999998</v>
      </c>
    </row>
    <row r="150" spans="1:3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>
        <v>2.2999999999999998</v>
      </c>
    </row>
    <row r="151" spans="1:3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>
        <v>2.2999999999999998</v>
      </c>
    </row>
    <row r="152" spans="1:3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>
        <v>2.2999999999999998</v>
      </c>
    </row>
    <row r="153" spans="1:3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>
        <v>2.2999999999999998</v>
      </c>
    </row>
    <row r="154" spans="1:3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>
        <v>2.2999999999999998</v>
      </c>
    </row>
    <row r="155" spans="1:3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>
        <v>2.2999999999999998</v>
      </c>
    </row>
    <row r="156" spans="1:3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>
        <v>2.2999999999999998</v>
      </c>
    </row>
    <row r="157" spans="1:3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>
        <v>2.3199999999999998</v>
      </c>
    </row>
    <row r="158" spans="1:3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>
        <v>2.3250000000000002</v>
      </c>
    </row>
    <row r="159" spans="1:3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>
        <v>2.33</v>
      </c>
    </row>
    <row r="160" spans="1:3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>
        <v>2.349809080938186</v>
      </c>
    </row>
    <row r="161" spans="1:3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>
        <v>2.35</v>
      </c>
    </row>
    <row r="162" spans="1:3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>
        <v>2.38</v>
      </c>
    </row>
    <row r="163" spans="1:3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>
        <v>2.4</v>
      </c>
    </row>
    <row r="164" spans="1:3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>
        <v>2.4</v>
      </c>
    </row>
    <row r="165" spans="1:3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>
        <v>2.4</v>
      </c>
    </row>
    <row r="166" spans="1:3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>
        <v>2.4</v>
      </c>
    </row>
    <row r="167" spans="1:3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>
        <v>2.4</v>
      </c>
    </row>
    <row r="168" spans="1:3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>
        <v>2.4</v>
      </c>
    </row>
    <row r="169" spans="1:3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>
        <v>2.4</v>
      </c>
    </row>
    <row r="170" spans="1:3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>
        <v>2.4</v>
      </c>
    </row>
    <row r="171" spans="1:3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>
        <v>2.4500000000000002</v>
      </c>
    </row>
    <row r="172" spans="1:3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>
        <v>2.4500000000000002</v>
      </c>
    </row>
    <row r="173" spans="1:3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>
        <v>2.46</v>
      </c>
    </row>
    <row r="174" spans="1:3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>
        <v>2.48</v>
      </c>
    </row>
    <row r="175" spans="1:3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>
        <v>2.4900000000000002</v>
      </c>
    </row>
    <row r="176" spans="1:3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>
        <v>2.5</v>
      </c>
    </row>
    <row r="177" spans="1:3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>
        <v>2.5</v>
      </c>
    </row>
    <row r="178" spans="1:3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>
        <v>2.5</v>
      </c>
    </row>
    <row r="179" spans="1:3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>
        <v>2.5</v>
      </c>
    </row>
    <row r="180" spans="1:3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>
        <v>2.56</v>
      </c>
    </row>
    <row r="181" spans="1:3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>
        <v>2.5999896678204268</v>
      </c>
    </row>
    <row r="182" spans="1:3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>
        <v>2.6</v>
      </c>
    </row>
    <row r="183" spans="1:3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>
        <v>3.086225134089212</v>
      </c>
    </row>
    <row r="184" spans="1:3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>
        <v>3.7250000000000001</v>
      </c>
    </row>
    <row r="185" spans="1:3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>
        <v>3.84</v>
      </c>
    </row>
    <row r="186" spans="1:3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>
        <v>3.8403749999999999</v>
      </c>
    </row>
    <row r="187" spans="1:3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>
        <v>3.97</v>
      </c>
    </row>
    <row r="188" spans="1:3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>
        <v>3.9950000000000001</v>
      </c>
    </row>
    <row r="189" spans="1:3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>
        <v>4</v>
      </c>
    </row>
    <row r="190" spans="1:3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>
        <v>4.0999999999999996</v>
      </c>
    </row>
    <row r="191" spans="1:3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>
        <v>4.0999999999999996</v>
      </c>
    </row>
    <row r="192" spans="1:3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>
        <v>4.1104883720930232</v>
      </c>
    </row>
    <row r="193" spans="1:3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>
        <v>4.12</v>
      </c>
    </row>
    <row r="194" spans="1:3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>
        <v>4.1500000000000004</v>
      </c>
    </row>
    <row r="195" spans="1:3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>
        <v>4.3</v>
      </c>
    </row>
    <row r="196" spans="1:3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>
        <v>4.3</v>
      </c>
    </row>
    <row r="197" spans="1:3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>
        <v>4.3996429868086651</v>
      </c>
    </row>
    <row r="198" spans="1:3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>
        <v>4.6461688628599314</v>
      </c>
    </row>
    <row r="199" spans="1:3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>
        <v>5.2981272376755717</v>
      </c>
    </row>
    <row r="200" spans="1:3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>
        <v>25.48342394201045</v>
      </c>
    </row>
    <row r="201" spans="1:3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>
        <v>50</v>
      </c>
    </row>
    <row r="202" spans="1:3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>
        <v>97.92</v>
      </c>
    </row>
    <row r="203" spans="1:30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>
        <v>44000</v>
      </c>
    </row>
    <row r="204" spans="1:30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>
        <v>48000.15</v>
      </c>
    </row>
    <row r="205" spans="1:30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>
        <v>53359</v>
      </c>
    </row>
    <row r="206" spans="1:30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>
        <v>54811.77</v>
      </c>
    </row>
    <row r="207" spans="1:30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>
        <v>55929.599999999999</v>
      </c>
    </row>
    <row r="208" spans="1:30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>
        <v>72285.36</v>
      </c>
    </row>
    <row r="209" spans="1:30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>
        <v>78350</v>
      </c>
    </row>
    <row r="210" spans="1:30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>
        <v>93660.61</v>
      </c>
    </row>
    <row r="211" spans="1:30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>
        <v>95805.07</v>
      </c>
    </row>
    <row r="212" spans="1:30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>
        <v>110934.75</v>
      </c>
    </row>
    <row r="213" spans="1:30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>
        <v>143000</v>
      </c>
    </row>
    <row r="214" spans="1:30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>
        <v>269783.40000000002</v>
      </c>
    </row>
    <row r="215" spans="1:30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>
        <v>342528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Control</vt:lpstr>
      <vt:lpstr>Precios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Benson Hilario</cp:lastModifiedBy>
  <dcterms:created xsi:type="dcterms:W3CDTF">2026-10-10T03:16:40Z</dcterms:created>
  <dcterms:modified xsi:type="dcterms:W3CDTF">2026-10-10T03:25:04Z</dcterms:modified>
</cp:coreProperties>
</file>